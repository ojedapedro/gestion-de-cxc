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01\Desktop\CUADRE DE CAJA\"/>
    </mc:Choice>
  </mc:AlternateContent>
  <xr:revisionPtr revIDLastSave="0" documentId="13_ncr:1_{33891024-8BC6-4818-B659-B7D575712746}" xr6:coauthVersionLast="47" xr6:coauthVersionMax="47" xr10:uidLastSave="{00000000-0000-0000-0000-000000000000}"/>
  <bookViews>
    <workbookView xWindow="-120" yWindow="-120" windowWidth="20730" windowHeight="11310" tabRatio="864" xr2:uid="{15EC455C-5AD7-4B04-85F6-0810F4A944D3}"/>
  </bookViews>
  <sheets>
    <sheet name="INGRESO WENDY" sheetId="7" r:id="rId1"/>
    <sheet name="CREDITO" sheetId="5" r:id="rId2"/>
    <sheet name="INGRESOS DIARIOS INDIVIDUALES" sheetId="14" r:id="rId3"/>
    <sheet name="INGRESO DETALLADO INDIVIDUAL" sheetId="6" r:id="rId4"/>
    <sheet name="INGRESOS VS EGRESO " sheetId="13" r:id="rId5"/>
    <sheet name="RECIBOS" sheetId="12" r:id="rId6"/>
  </sheets>
  <definedNames>
    <definedName name="_xlnm.Print_Area" localSheetId="5">RECIBOS!$A$1:$N$20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9" i="7" l="1"/>
  <c r="V10" i="7"/>
  <c r="I64" i="7"/>
  <c r="Q15" i="7"/>
  <c r="S64" i="7"/>
  <c r="Q64" i="7"/>
  <c r="D73" i="13" l="1"/>
  <c r="I17" i="7"/>
  <c r="D46" i="13"/>
  <c r="M18" i="7"/>
  <c r="M19" i="7"/>
  <c r="E17" i="7"/>
  <c r="G17" i="7" s="1"/>
  <c r="BG4" i="6"/>
  <c r="D41" i="13"/>
  <c r="E36" i="5"/>
  <c r="G36" i="5"/>
  <c r="H36" i="5"/>
  <c r="I36" i="5"/>
  <c r="K36" i="5"/>
  <c r="L36" i="5"/>
  <c r="M36" i="5"/>
  <c r="N36" i="5"/>
  <c r="O36" i="5"/>
  <c r="P36" i="5"/>
  <c r="E35" i="5"/>
  <c r="G35" i="5"/>
  <c r="H35" i="5"/>
  <c r="K35" i="5"/>
  <c r="L35" i="5"/>
  <c r="M35" i="5"/>
  <c r="N35" i="5"/>
  <c r="O35" i="5"/>
  <c r="P35" i="5"/>
  <c r="D36" i="5"/>
  <c r="E16" i="7"/>
  <c r="G16" i="7" s="1"/>
  <c r="M16" i="7" s="1"/>
  <c r="G6" i="14"/>
  <c r="M17" i="7" l="1"/>
  <c r="L3" i="7"/>
  <c r="D37" i="13"/>
  <c r="BI6" i="6"/>
  <c r="G12" i="14"/>
  <c r="E15" i="7"/>
  <c r="G15" i="7"/>
  <c r="L15" i="7"/>
  <c r="E13" i="7"/>
  <c r="G13" i="7" s="1"/>
  <c r="E14" i="7"/>
  <c r="G14" i="7"/>
  <c r="L14" i="7"/>
  <c r="M14" i="7" l="1"/>
  <c r="O14" i="7" s="1"/>
  <c r="M15" i="7"/>
  <c r="M13" i="7"/>
  <c r="O13" i="7" s="1"/>
  <c r="D35" i="13"/>
  <c r="D34" i="13"/>
  <c r="BI5" i="6"/>
  <c r="G9" i="14"/>
  <c r="D32" i="13" l="1"/>
  <c r="R12" i="5"/>
  <c r="E12" i="7"/>
  <c r="G12" i="7" s="1"/>
  <c r="M12" i="7" s="1"/>
  <c r="G11" i="7"/>
  <c r="M11" i="7" s="1"/>
  <c r="R9" i="5"/>
  <c r="L10" i="7"/>
  <c r="Q10" i="5"/>
  <c r="G8" i="14" l="1"/>
  <c r="Z3" i="6"/>
  <c r="D28" i="13"/>
  <c r="E10" i="7"/>
  <c r="G10" i="7" s="1"/>
  <c r="M10" i="7" s="1"/>
  <c r="D27" i="13" l="1"/>
  <c r="E9" i="7"/>
  <c r="G9" i="7" s="1"/>
  <c r="M9" i="7" s="1"/>
  <c r="L7" i="7" l="1"/>
  <c r="L64" i="7" s="1"/>
  <c r="Q7" i="5"/>
  <c r="O11" i="7" l="1"/>
  <c r="O12" i="7"/>
  <c r="O15" i="7"/>
  <c r="O16" i="7"/>
  <c r="O17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G8" i="7"/>
  <c r="M8" i="7" s="1"/>
  <c r="G7" i="7"/>
  <c r="M7" i="7" s="1"/>
  <c r="BI3" i="6"/>
  <c r="R6" i="5" l="1"/>
  <c r="E6" i="7"/>
  <c r="G6" i="7" s="1"/>
  <c r="E5" i="7"/>
  <c r="G5" i="7" s="1"/>
  <c r="M5" i="7" s="1"/>
  <c r="K32" i="5"/>
  <c r="L32" i="5"/>
  <c r="M32" i="5"/>
  <c r="N32" i="5"/>
  <c r="O32" i="5"/>
  <c r="P32" i="5"/>
  <c r="E4" i="7"/>
  <c r="G4" i="7" s="1"/>
  <c r="M4" i="7" s="1"/>
  <c r="M6" i="7" l="1"/>
  <c r="O6" i="7" s="1"/>
  <c r="E70" i="13"/>
  <c r="D70" i="13"/>
  <c r="G64" i="14"/>
  <c r="H64" i="14"/>
  <c r="I64" i="14"/>
  <c r="R41" i="5" s="1"/>
  <c r="E64" i="14"/>
  <c r="G4" i="14"/>
  <c r="W10" i="7"/>
  <c r="W13" i="7" s="1"/>
  <c r="W15" i="7" s="1"/>
  <c r="AN3" i="6"/>
  <c r="E3" i="7"/>
  <c r="G3" i="7" s="1"/>
  <c r="M3" i="7" s="1"/>
  <c r="I66" i="14" l="1"/>
  <c r="G66" i="14"/>
  <c r="R42" i="5"/>
  <c r="S42" i="5" s="1"/>
  <c r="J64" i="14"/>
  <c r="P7" i="12"/>
  <c r="P6" i="12"/>
  <c r="I11" i="13"/>
  <c r="J66" i="14" l="1"/>
  <c r="J32" i="5"/>
  <c r="I32" i="5"/>
  <c r="J35" i="5" l="1"/>
  <c r="Q35" i="5" s="1"/>
  <c r="R43" i="5" s="1"/>
  <c r="O5" i="7"/>
  <c r="Z64" i="6"/>
  <c r="O4" i="7"/>
  <c r="CL64" i="6"/>
  <c r="CK64" i="6"/>
  <c r="CI64" i="6"/>
  <c r="CE64" i="6"/>
  <c r="CD64" i="6"/>
  <c r="CE65" i="6" s="1"/>
  <c r="CB64" i="6"/>
  <c r="BX64" i="6"/>
  <c r="BW64" i="6"/>
  <c r="BU64" i="6"/>
  <c r="BQ64" i="6"/>
  <c r="BP64" i="6"/>
  <c r="BN64" i="6"/>
  <c r="BJ64" i="6"/>
  <c r="BC64" i="6"/>
  <c r="BB64" i="6"/>
  <c r="AZ64" i="6"/>
  <c r="AV64" i="6"/>
  <c r="AU64" i="6"/>
  <c r="AV65" i="6" s="1"/>
  <c r="AS64" i="6"/>
  <c r="AO64" i="6"/>
  <c r="AN64" i="6"/>
  <c r="AO65" i="6" s="1"/>
  <c r="AL64" i="6"/>
  <c r="AH64" i="6"/>
  <c r="AG64" i="6"/>
  <c r="AE64" i="6"/>
  <c r="AA64" i="6"/>
  <c r="X64" i="6"/>
  <c r="T64" i="6"/>
  <c r="S64" i="6"/>
  <c r="Q64" i="6"/>
  <c r="M64" i="6"/>
  <c r="L64" i="6"/>
  <c r="J64" i="6"/>
  <c r="C64" i="6"/>
  <c r="E64" i="6"/>
  <c r="J64" i="7"/>
  <c r="K64" i="7"/>
  <c r="F64" i="6"/>
  <c r="M63" i="7"/>
  <c r="O7" i="7"/>
  <c r="O8" i="7"/>
  <c r="O9" i="7"/>
  <c r="O10" i="7"/>
  <c r="K15" i="12"/>
  <c r="J11" i="12"/>
  <c r="J36" i="5" l="1"/>
  <c r="Q36" i="5" s="1"/>
  <c r="T65" i="6"/>
  <c r="E5" i="13"/>
  <c r="N33" i="5"/>
  <c r="N34" i="5" s="1"/>
  <c r="BX65" i="6"/>
  <c r="M65" i="6"/>
  <c r="AH65" i="6"/>
  <c r="BQ65" i="6"/>
  <c r="M33" i="5" s="1"/>
  <c r="M34" i="5" s="1"/>
  <c r="AA65" i="6"/>
  <c r="G33" i="5" s="1"/>
  <c r="F65" i="6"/>
  <c r="BC65" i="6"/>
  <c r="K33" i="5" s="1"/>
  <c r="K34" i="5" s="1"/>
  <c r="P33" i="5"/>
  <c r="CL65" i="6"/>
  <c r="D33" i="5"/>
  <c r="O33" i="5"/>
  <c r="O34" i="5" s="1"/>
  <c r="C72" i="6"/>
  <c r="I10" i="13" s="1"/>
  <c r="I12" i="13" s="1"/>
  <c r="I19" i="13" s="1"/>
  <c r="F33" i="5"/>
  <c r="I33" i="5"/>
  <c r="I34" i="5" s="1"/>
  <c r="J33" i="5"/>
  <c r="J34" i="5" s="1"/>
  <c r="H33" i="5"/>
  <c r="E33" i="5"/>
  <c r="E64" i="7"/>
  <c r="D5" i="13" s="1"/>
  <c r="E6" i="13" l="1"/>
  <c r="Q2" i="5"/>
  <c r="D32" i="5"/>
  <c r="P34" i="5"/>
  <c r="H32" i="5"/>
  <c r="H34" i="5" s="1"/>
  <c r="G32" i="5"/>
  <c r="G34" i="5" s="1"/>
  <c r="F32" i="5"/>
  <c r="F34" i="5" s="1"/>
  <c r="E32" i="5"/>
  <c r="Q3" i="5"/>
  <c r="Q4" i="5"/>
  <c r="R2" i="5" s="1"/>
  <c r="Q5" i="5"/>
  <c r="R5" i="5" s="1"/>
  <c r="Q6" i="5"/>
  <c r="Q8" i="5"/>
  <c r="Q9" i="5"/>
  <c r="Q11" i="5"/>
  <c r="Q12" i="5"/>
  <c r="Q13" i="5"/>
  <c r="Q14" i="5"/>
  <c r="Q15" i="5"/>
  <c r="R14" i="5" s="1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R16" i="5" l="1"/>
  <c r="E7" i="13"/>
  <c r="Q32" i="5"/>
  <c r="R39" i="5" s="1"/>
  <c r="E72" i="13" l="1"/>
  <c r="M64" i="7"/>
  <c r="O3" i="7"/>
  <c r="O64" i="7" s="1"/>
  <c r="D34" i="5"/>
  <c r="E34" i="5" l="1"/>
  <c r="BI64" i="6"/>
  <c r="BJ65" i="6" s="1"/>
  <c r="L33" i="5" s="1"/>
  <c r="BG64" i="6"/>
  <c r="C71" i="6" s="1"/>
  <c r="D6" i="13" s="1"/>
  <c r="D7" i="13" s="1"/>
  <c r="D72" i="13" s="1"/>
  <c r="D74" i="13" s="1"/>
  <c r="I20" i="13" s="1"/>
  <c r="L34" i="5" l="1"/>
  <c r="Q33" i="5"/>
  <c r="R40" i="5" s="1"/>
  <c r="S43" i="5" s="1"/>
  <c r="Q34" i="5" l="1"/>
</calcChain>
</file>

<file path=xl/sharedStrings.xml><?xml version="1.0" encoding="utf-8"?>
<sst xmlns="http://schemas.openxmlformats.org/spreadsheetml/2006/main" count="363" uniqueCount="186">
  <si>
    <t>TOTAL</t>
  </si>
  <si>
    <t>FECHA</t>
  </si>
  <si>
    <t>ITEM</t>
  </si>
  <si>
    <t>C X C</t>
  </si>
  <si>
    <t>BOLIVARES</t>
  </si>
  <si>
    <t>DOLARES</t>
  </si>
  <si>
    <t>WENDY</t>
  </si>
  <si>
    <t>TASA</t>
  </si>
  <si>
    <t>DOLARES CONV.</t>
  </si>
  <si>
    <t>ABONOS:</t>
  </si>
  <si>
    <t>C X C :</t>
  </si>
  <si>
    <t>CREDITO:</t>
  </si>
  <si>
    <t>TOTAL:</t>
  </si>
  <si>
    <t>DOLARES EFECTIVO</t>
  </si>
  <si>
    <t>ZELLE</t>
  </si>
  <si>
    <t>BANCO</t>
  </si>
  <si>
    <t>EFECTIVO BS</t>
  </si>
  <si>
    <t>CXC</t>
  </si>
  <si>
    <t>$</t>
  </si>
  <si>
    <t xml:space="preserve">TOTAL DEL DIA </t>
  </si>
  <si>
    <t>VENTA DIARIA</t>
  </si>
  <si>
    <t>RECIBO DE PAGO</t>
  </si>
  <si>
    <t>RECIBO Nº</t>
  </si>
  <si>
    <t>POR:</t>
  </si>
  <si>
    <t>QUIEN RECIBE SR.(A):</t>
  </si>
  <si>
    <t>LA CANTIDAD DE:</t>
  </si>
  <si>
    <t>CANTIDAD EN LETRAS:</t>
  </si>
  <si>
    <t>POR CONCEPTO DE:</t>
  </si>
  <si>
    <t>FECHA:</t>
  </si>
  <si>
    <t>RECIBÍ CONFORME</t>
  </si>
  <si>
    <t>ENTREGUÉ CONFORME</t>
  </si>
  <si>
    <t>GARANTIA</t>
  </si>
  <si>
    <t>DONACION</t>
  </si>
  <si>
    <t>VENDEDOR 9</t>
  </si>
  <si>
    <t>VENDEDOR 10</t>
  </si>
  <si>
    <t>VENDEDOR 11</t>
  </si>
  <si>
    <t>JESUS RUIZ 1</t>
  </si>
  <si>
    <t>ISAAC RANGEL 2</t>
  </si>
  <si>
    <t xml:space="preserve">DONACION </t>
  </si>
  <si>
    <t xml:space="preserve">GARANTIA </t>
  </si>
  <si>
    <t>LUIS QUERALES 3</t>
  </si>
  <si>
    <t>TOTAL RECIBIDO:</t>
  </si>
  <si>
    <t>TOTAL A DEDUCIR DEL CREDITO:</t>
  </si>
  <si>
    <t>N° NOTA</t>
  </si>
  <si>
    <t>INDIVIDUAL</t>
  </si>
  <si>
    <t>INGRESOS</t>
  </si>
  <si>
    <t>DOLARES EFECTIVO Y ZELLE</t>
  </si>
  <si>
    <t>BOLIVARES EFECTIVO Y BANCO</t>
  </si>
  <si>
    <t>TOTAL BOLIVARES:</t>
  </si>
  <si>
    <t>TOTAL DOLARES:</t>
  </si>
  <si>
    <t>TOTAL EGRESO:</t>
  </si>
  <si>
    <t>TOTAL INGRESO:</t>
  </si>
  <si>
    <t>NOTA</t>
  </si>
  <si>
    <t>EGRESOS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</si>
  <si>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</si>
  <si>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</si>
  <si>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</si>
  <si>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</si>
  <si>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</si>
  <si>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</si>
  <si>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</si>
  <si>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</si>
  <si>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</si>
  <si>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</si>
  <si>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</si>
  <si>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</si>
  <si>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</si>
  <si>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</si>
  <si>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</si>
  <si>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</si>
  <si>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</si>
  <si>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</si>
  <si>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</si>
  <si>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</si>
  <si>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</si>
  <si>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</si>
  <si>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</si>
  <si>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</si>
  <si>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</si>
  <si>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</si>
  <si>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</si>
  <si>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</si>
  <si>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</si>
  <si>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</si>
  <si>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</si>
  <si>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</si>
  <si>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</si>
  <si>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</si>
  <si>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</si>
  <si>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</si>
  <si>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</si>
  <si>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</si>
  <si>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</si>
  <si>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</si>
  <si>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</si>
  <si>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</si>
  <si>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</si>
  <si>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</si>
  <si>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</si>
  <si>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</si>
  <si>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</si>
  <si>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</si>
  <si>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</si>
  <si>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</si>
  <si>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</si>
  <si>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</si>
  <si>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</si>
  <si>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CAJA CHICA</t>
  </si>
  <si>
    <t>INGRESOS $</t>
  </si>
  <si>
    <t>BETSI</t>
  </si>
  <si>
    <t>VENTA REAL TIENDA</t>
  </si>
  <si>
    <t>ELIZABETH G</t>
  </si>
  <si>
    <t>ELIZABETH</t>
  </si>
  <si>
    <t>BINANCE</t>
  </si>
  <si>
    <t>059</t>
  </si>
  <si>
    <t>060</t>
  </si>
  <si>
    <t>061</t>
  </si>
  <si>
    <t>062</t>
  </si>
  <si>
    <t>063</t>
  </si>
  <si>
    <t>JESUS R,</t>
  </si>
  <si>
    <t xml:space="preserve">JESUS RUIZ RETIRO </t>
  </si>
  <si>
    <t xml:space="preserve">JOHAN </t>
  </si>
  <si>
    <t>TASA BCV</t>
  </si>
  <si>
    <t>TASA EURO</t>
  </si>
  <si>
    <t>TASA BINANCE</t>
  </si>
  <si>
    <t>JUEVES</t>
  </si>
  <si>
    <t>VENDEDOR</t>
  </si>
  <si>
    <t>JESUS RUIZ</t>
  </si>
  <si>
    <t xml:space="preserve">DIA </t>
  </si>
  <si>
    <t>BETSY</t>
  </si>
  <si>
    <t>TOTAL CREDITO</t>
  </si>
  <si>
    <t>TOTAL ABONO</t>
  </si>
  <si>
    <t>TOTAL PENDIENTE</t>
  </si>
  <si>
    <t>TOTAL INGRESO</t>
  </si>
  <si>
    <t>TOTAL DISPONIBLE:</t>
  </si>
  <si>
    <t>INICIAL WENDY</t>
  </si>
  <si>
    <t>INICIAL INDIV.</t>
  </si>
  <si>
    <t>CAJA</t>
  </si>
  <si>
    <t>DANYELLO C</t>
  </si>
  <si>
    <t>JAIRO</t>
  </si>
  <si>
    <t>DANYELLO CALATAYUD</t>
  </si>
  <si>
    <t>VIERNES</t>
  </si>
  <si>
    <t>LUNES</t>
  </si>
  <si>
    <t>MARTES</t>
  </si>
  <si>
    <t>BANCO TESORO</t>
  </si>
  <si>
    <t>DANYELLO</t>
  </si>
  <si>
    <t>MIERCOLES</t>
  </si>
  <si>
    <t>RECIBO PAGO MOVIL DANYELLO</t>
  </si>
  <si>
    <t>COMISION DANYELLO</t>
  </si>
  <si>
    <t xml:space="preserve">JUEVES </t>
  </si>
  <si>
    <t xml:space="preserve">                                                                                               </t>
  </si>
  <si>
    <t>VIERNS</t>
  </si>
  <si>
    <t>ISACC RANGEL</t>
  </si>
  <si>
    <t>TOTAL TIENDA</t>
  </si>
  <si>
    <t>ESTADO DE CUENTA REV BANESCO</t>
  </si>
  <si>
    <t>HOJAS BLANCAS</t>
  </si>
  <si>
    <t>SEMANA</t>
  </si>
  <si>
    <t>JESUS VUELTO 4</t>
  </si>
  <si>
    <t>JESUS VUELTO 5</t>
  </si>
  <si>
    <t>SABADO</t>
  </si>
  <si>
    <t>TOTY</t>
  </si>
  <si>
    <t>TOTI</t>
  </si>
  <si>
    <t>MECANICO JOHAN</t>
  </si>
  <si>
    <t>ESTADO DE CUENTA</t>
  </si>
  <si>
    <t>PAGO DANYELLO REV</t>
  </si>
  <si>
    <t>SR GUSTAVO</t>
  </si>
  <si>
    <t>40$</t>
  </si>
  <si>
    <t>GUSTAVO</t>
  </si>
  <si>
    <t>CUARENTA $</t>
  </si>
  <si>
    <t>SR GUSTAVO AUTORIZA JESUS RUIZ</t>
  </si>
  <si>
    <t xml:space="preserve">ESTADO DE CUENTA REV   </t>
  </si>
  <si>
    <t>ESTADO DE CUENTA REV</t>
  </si>
  <si>
    <t>CRUZE DE CUENTAS</t>
  </si>
  <si>
    <t>COMISION</t>
  </si>
  <si>
    <t>TOTAL VEND</t>
  </si>
  <si>
    <t>ABONOS</t>
  </si>
  <si>
    <t>ABONOS $</t>
  </si>
  <si>
    <t>ABONOS BS</t>
  </si>
  <si>
    <t>PAGOS DE VENDEDORES</t>
  </si>
  <si>
    <t>EFECTIVO BS CONVERTIDOS</t>
  </si>
  <si>
    <t>ESTADO D ECUENTA</t>
  </si>
  <si>
    <t xml:space="preserve">EFECTIVO </t>
  </si>
  <si>
    <t>EFECTIVO</t>
  </si>
  <si>
    <t>SR GUSTAVO MODIFICAR DIO VUELTO 25</t>
  </si>
  <si>
    <t>PAGOS DE VENDEDORES $</t>
  </si>
  <si>
    <t>TOTI/JESUS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</si>
</sst>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Bs.S&quot;* #,##0.00_ ;_ &quot;Bs.S&quot;* \-#,##0.00_ ;_ &quot;Bs.S&quot;* &quot;-&quot;??_ ;_ @_ "/>
    <numFmt numFmtId="43" formatCode="_ * #,##0.00_ ;_ * \-#,##0.00_ ;_ * &quot;-&quot;??_ ;_ @_ "/>
    <numFmt numFmtId="164" formatCode="00000"/>
    <numFmt numFmtId="165" formatCode="&quot;S/.&quot;\ 0"/>
    <numFmt numFmtId="166" formatCode="dd/mm/yyyy;@"/>
    <numFmt numFmtId="167" formatCode="[$-440A]\ dd&quot; de &quot;mmmm&quot; de &quot;yyyy;@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rgb="FF002060"/>
      <name val="Segoe UI"/>
      <family val="2"/>
    </font>
    <font>
      <b/>
      <sz val="22"/>
      <color rgb="FF002060"/>
      <name val="Segoe U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4"/>
      <name val="Segoe UI"/>
      <family val="2"/>
    </font>
    <font>
      <b/>
      <sz val="26"/>
      <name val="Segoe UI"/>
      <family val="2"/>
    </font>
    <font>
      <b/>
      <sz val="24"/>
      <color rgb="FFFF0000"/>
      <name val="Segoe UI"/>
      <family val="2"/>
    </font>
    <font>
      <sz val="24"/>
      <color rgb="FF002060"/>
      <name val="Segoe UI"/>
      <family val="2"/>
    </font>
    <font>
      <b/>
      <sz val="24"/>
      <color rgb="FF002060"/>
      <name val="Segoe UI"/>
      <family val="2"/>
    </font>
    <font>
      <b/>
      <sz val="23"/>
      <color theme="1"/>
      <name val="Segoe U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2">
    <xf numFmtId="0" fontId="0" fillId="0" borderId="0" xfId="0"/>
    <xf numFmtId="43" fontId="0" fillId="0" borderId="1" xfId="1" applyFont="1" applyBorder="1"/>
    <xf numFmtId="0" fontId="2" fillId="0" borderId="1" xfId="0" applyFont="1" applyBorder="1" applyAlignment="1">
      <alignment horizontal="center"/>
    </xf>
    <xf numFmtId="43" fontId="2" fillId="0" borderId="0" xfId="0" applyNumberFormat="1" applyFont="1"/>
    <xf numFmtId="43" fontId="0" fillId="0" borderId="1" xfId="0" applyNumberFormat="1" applyBorder="1"/>
    <xf numFmtId="0" fontId="2" fillId="0" borderId="1" xfId="0" applyFont="1" applyFill="1" applyBorder="1" applyAlignment="1">
      <alignment horizontal="center"/>
    </xf>
    <xf numFmtId="43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/>
    <xf numFmtId="43" fontId="0" fillId="3" borderId="1" xfId="1" applyFont="1" applyFill="1" applyBorder="1"/>
    <xf numFmtId="4" fontId="0" fillId="3" borderId="1" xfId="1" applyNumberFormat="1" applyFont="1" applyFill="1" applyBorder="1" applyAlignment="1">
      <alignment horizontal="center"/>
    </xf>
    <xf numFmtId="43" fontId="0" fillId="4" borderId="1" xfId="1" applyFont="1" applyFill="1" applyBorder="1"/>
    <xf numFmtId="14" fontId="0" fillId="0" borderId="1" xfId="0" applyNumberFormat="1" applyFill="1" applyBorder="1" applyAlignment="1">
      <alignment horizontal="center" vertical="center"/>
    </xf>
    <xf numFmtId="43" fontId="0" fillId="0" borderId="1" xfId="0" applyNumberFormat="1" applyFont="1" applyFill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4" fontId="0" fillId="2" borderId="0" xfId="0" applyNumberFormat="1" applyFont="1" applyFill="1"/>
    <xf numFmtId="43" fontId="5" fillId="0" borderId="0" xfId="0" applyNumberFormat="1" applyFont="1"/>
    <xf numFmtId="0" fontId="2" fillId="0" borderId="0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43" fontId="0" fillId="5" borderId="1" xfId="1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43" fontId="7" fillId="0" borderId="4" xfId="1" applyFont="1" applyBorder="1" applyAlignment="1">
      <alignment horizontal="center"/>
    </xf>
    <xf numFmtId="43" fontId="7" fillId="0" borderId="4" xfId="1" applyFont="1" applyBorder="1" applyAlignment="1">
      <alignment horizontal="center" vertical="center"/>
    </xf>
    <xf numFmtId="43" fontId="7" fillId="3" borderId="4" xfId="1" applyFont="1" applyFill="1" applyBorder="1" applyAlignment="1">
      <alignment horizontal="center" vertical="center"/>
    </xf>
    <xf numFmtId="43" fontId="8" fillId="0" borderId="1" xfId="1" applyFont="1" applyBorder="1"/>
    <xf numFmtId="43" fontId="7" fillId="4" borderId="4" xfId="1" applyFont="1" applyFill="1" applyBorder="1" applyAlignment="1">
      <alignment horizontal="center" vertical="center" wrapText="1"/>
    </xf>
    <xf numFmtId="43" fontId="7" fillId="0" borderId="1" xfId="1" applyFont="1" applyBorder="1" applyAlignment="1">
      <alignment horizontal="center"/>
    </xf>
    <xf numFmtId="43" fontId="0" fillId="0" borderId="0" xfId="0" applyNumberFormat="1"/>
    <xf numFmtId="43" fontId="1" fillId="6" borderId="1" xfId="1" applyFont="1" applyFill="1" applyBorder="1"/>
    <xf numFmtId="0" fontId="0" fillId="6" borderId="1" xfId="0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16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3" fontId="14" fillId="0" borderId="0" xfId="0" applyNumberFormat="1" applyFont="1"/>
    <xf numFmtId="43" fontId="2" fillId="0" borderId="0" xfId="0" applyNumberFormat="1" applyFont="1" applyBorder="1"/>
    <xf numFmtId="43" fontId="2" fillId="0" borderId="0" xfId="0" applyNumberFormat="1" applyFont="1" applyFill="1" applyBorder="1"/>
    <xf numFmtId="43" fontId="0" fillId="0" borderId="4" xfId="0" applyNumberFormat="1" applyFont="1" applyBorder="1" applyAlignment="1"/>
    <xf numFmtId="43" fontId="0" fillId="0" borderId="5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  <xf numFmtId="43" fontId="0" fillId="0" borderId="1" xfId="1" applyFont="1" applyFill="1" applyBorder="1"/>
    <xf numFmtId="0" fontId="0" fillId="0" borderId="0" xfId="0" applyBorder="1" applyAlignment="1">
      <alignment horizontal="center" vertical="center"/>
    </xf>
    <xf numFmtId="43" fontId="0" fillId="0" borderId="0" xfId="1" applyFont="1" applyFill="1" applyBorder="1"/>
    <xf numFmtId="14" fontId="2" fillId="0" borderId="1" xfId="0" applyNumberFormat="1" applyFont="1" applyFill="1" applyBorder="1" applyAlignment="1">
      <alignment horizontal="center" vertical="center" wrapText="1"/>
    </xf>
    <xf numFmtId="43" fontId="0" fillId="7" borderId="1" xfId="0" applyNumberFormat="1" applyFill="1" applyBorder="1"/>
    <xf numFmtId="43" fontId="14" fillId="0" borderId="0" xfId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43" fontId="0" fillId="0" borderId="0" xfId="1" applyFont="1" applyFill="1"/>
    <xf numFmtId="43" fontId="14" fillId="0" borderId="1" xfId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3" fontId="7" fillId="9" borderId="4" xfId="1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43" fontId="0" fillId="0" borderId="0" xfId="0" applyNumberFormat="1" applyBorder="1"/>
    <xf numFmtId="0" fontId="16" fillId="0" borderId="0" xfId="0" applyFont="1" applyAlignment="1">
      <alignment horizontal="right"/>
    </xf>
    <xf numFmtId="0" fontId="19" fillId="0" borderId="0" xfId="0" applyFont="1"/>
    <xf numFmtId="0" fontId="16" fillId="0" borderId="0" xfId="0" applyFont="1"/>
    <xf numFmtId="165" fontId="19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right"/>
    </xf>
    <xf numFmtId="0" fontId="20" fillId="0" borderId="0" xfId="0" applyFont="1"/>
    <xf numFmtId="0" fontId="16" fillId="0" borderId="8" xfId="0" applyFont="1" applyBorder="1"/>
    <xf numFmtId="0" fontId="16" fillId="0" borderId="8" xfId="0" applyFont="1" applyBorder="1" applyAlignment="1">
      <alignment horizontal="right"/>
    </xf>
    <xf numFmtId="44" fontId="16" fillId="0" borderId="8" xfId="2" applyFont="1" applyBorder="1"/>
    <xf numFmtId="0" fontId="16" fillId="0" borderId="9" xfId="0" applyFont="1" applyBorder="1"/>
    <xf numFmtId="14" fontId="16" fillId="0" borderId="9" xfId="0" applyNumberFormat="1" applyFont="1" applyBorder="1"/>
    <xf numFmtId="166" fontId="16" fillId="0" borderId="0" xfId="0" applyNumberFormat="1" applyFont="1" applyAlignment="1">
      <alignment horizontal="center"/>
    </xf>
    <xf numFmtId="0" fontId="16" fillId="0" borderId="7" xfId="0" applyFont="1" applyBorder="1"/>
    <xf numFmtId="0" fontId="16" fillId="6" borderId="9" xfId="0" applyFont="1" applyFill="1" applyBorder="1"/>
    <xf numFmtId="0" fontId="0" fillId="6" borderId="0" xfId="0" applyFill="1"/>
    <xf numFmtId="1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4" fontId="2" fillId="2" borderId="0" xfId="0" applyNumberFormat="1" applyFont="1" applyFill="1"/>
    <xf numFmtId="43" fontId="2" fillId="0" borderId="0" xfId="1" applyFont="1" applyFill="1"/>
    <xf numFmtId="43" fontId="2" fillId="0" borderId="0" xfId="0" applyNumberFormat="1" applyFont="1" applyFill="1"/>
    <xf numFmtId="43" fontId="0" fillId="0" borderId="1" xfId="1" applyFont="1" applyFill="1" applyBorder="1" applyAlignment="1">
      <alignment horizontal="center" vertical="center" wrapText="1"/>
    </xf>
    <xf numFmtId="43" fontId="1" fillId="0" borderId="1" xfId="1" applyFont="1" applyFill="1" applyBorder="1"/>
    <xf numFmtId="0" fontId="21" fillId="0" borderId="0" xfId="0" applyFont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43" fontId="0" fillId="12" borderId="1" xfId="0" applyNumberFormat="1" applyFill="1" applyBorder="1"/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14" fontId="0" fillId="12" borderId="1" xfId="0" applyNumberFormat="1" applyFill="1" applyBorder="1" applyAlignment="1">
      <alignment horizontal="center" vertical="center"/>
    </xf>
    <xf numFmtId="43" fontId="1" fillId="12" borderId="1" xfId="1" applyFont="1" applyFill="1" applyBorder="1"/>
    <xf numFmtId="43" fontId="10" fillId="12" borderId="1" xfId="1" applyFont="1" applyFill="1" applyBorder="1"/>
    <xf numFmtId="43" fontId="2" fillId="12" borderId="1" xfId="0" applyNumberFormat="1" applyFont="1" applyFill="1" applyBorder="1"/>
    <xf numFmtId="43" fontId="22" fillId="3" borderId="1" xfId="1" applyFont="1" applyFill="1" applyBorder="1"/>
    <xf numFmtId="43" fontId="22" fillId="0" borderId="1" xfId="1" applyFont="1" applyFill="1" applyBorder="1"/>
    <xf numFmtId="0" fontId="0" fillId="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43" fontId="22" fillId="0" borderId="0" xfId="1" applyFont="1" applyFill="1" applyBorder="1"/>
    <xf numFmtId="0" fontId="22" fillId="0" borderId="0" xfId="0" applyFont="1" applyFill="1"/>
    <xf numFmtId="0" fontId="0" fillId="0" borderId="1" xfId="0" applyFill="1" applyBorder="1"/>
    <xf numFmtId="43" fontId="1" fillId="0" borderId="0" xfId="1" applyFont="1" applyFill="1" applyBorder="1"/>
    <xf numFmtId="43" fontId="1" fillId="6" borderId="0" xfId="1" applyFont="1" applyFill="1" applyBorder="1"/>
    <xf numFmtId="43" fontId="0" fillId="6" borderId="1" xfId="1" applyFont="1" applyFill="1" applyBorder="1"/>
    <xf numFmtId="0" fontId="0" fillId="13" borderId="1" xfId="0" applyFont="1" applyFill="1" applyBorder="1" applyAlignment="1">
      <alignment horizontal="center" vertical="center"/>
    </xf>
    <xf numFmtId="0" fontId="0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43" fontId="7" fillId="11" borderId="1" xfId="1" applyFont="1" applyFill="1" applyBorder="1" applyAlignment="1">
      <alignment horizontal="center"/>
    </xf>
    <xf numFmtId="43" fontId="7" fillId="12" borderId="4" xfId="1" applyFont="1" applyFill="1" applyBorder="1" applyAlignment="1">
      <alignment horizontal="center" vertical="center"/>
    </xf>
    <xf numFmtId="43" fontId="7" fillId="13" borderId="4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center"/>
    </xf>
    <xf numFmtId="43" fontId="7" fillId="0" borderId="0" xfId="1" applyFont="1" applyFill="1" applyBorder="1" applyAlignment="1">
      <alignment horizontal="center" vertical="center"/>
    </xf>
    <xf numFmtId="43" fontId="8" fillId="0" borderId="0" xfId="1" applyFont="1" applyFill="1" applyBorder="1"/>
    <xf numFmtId="43" fontId="7" fillId="0" borderId="0" xfId="1" applyFont="1" applyFill="1" applyBorder="1" applyAlignment="1">
      <alignment horizontal="center" vertical="center" wrapText="1"/>
    </xf>
    <xf numFmtId="0" fontId="8" fillId="0" borderId="0" xfId="0" applyFont="1" applyFill="1" applyBorder="1"/>
    <xf numFmtId="43" fontId="8" fillId="0" borderId="0" xfId="1" applyFont="1" applyFill="1" applyBorder="1" applyAlignment="1">
      <alignment horizontal="right"/>
    </xf>
    <xf numFmtId="0" fontId="7" fillId="0" borderId="0" xfId="0" applyFont="1" applyFill="1" applyBorder="1"/>
    <xf numFmtId="43" fontId="7" fillId="0" borderId="0" xfId="0" applyNumberFormat="1" applyFont="1" applyFill="1" applyBorder="1"/>
    <xf numFmtId="14" fontId="0" fillId="14" borderId="1" xfId="0" applyNumberFormat="1" applyFill="1" applyBorder="1" applyAlignment="1">
      <alignment horizontal="center" vertical="center"/>
    </xf>
    <xf numFmtId="43" fontId="0" fillId="14" borderId="1" xfId="1" applyFont="1" applyFill="1" applyBorder="1"/>
    <xf numFmtId="43" fontId="9" fillId="14" borderId="1" xfId="1" applyFont="1" applyFill="1" applyBorder="1"/>
    <xf numFmtId="43" fontId="23" fillId="14" borderId="1" xfId="1" applyFont="1" applyFill="1" applyBorder="1"/>
    <xf numFmtId="43" fontId="0" fillId="14" borderId="1" xfId="0" applyNumberFormat="1" applyFill="1" applyBorder="1"/>
    <xf numFmtId="43" fontId="2" fillId="14" borderId="1" xfId="0" applyNumberFormat="1" applyFont="1" applyFill="1" applyBorder="1"/>
    <xf numFmtId="43" fontId="0" fillId="14" borderId="0" xfId="0" applyNumberFormat="1" applyFill="1"/>
    <xf numFmtId="43" fontId="1" fillId="14" borderId="1" xfId="1" applyFont="1" applyFill="1" applyBorder="1"/>
    <xf numFmtId="43" fontId="10" fillId="14" borderId="1" xfId="1" applyFont="1" applyFill="1" applyBorder="1"/>
    <xf numFmtId="43" fontId="0" fillId="12" borderId="1" xfId="1" applyFont="1" applyFill="1" applyBorder="1"/>
    <xf numFmtId="43" fontId="9" fillId="12" borderId="1" xfId="1" applyFont="1" applyFill="1" applyBorder="1"/>
    <xf numFmtId="43" fontId="0" fillId="12" borderId="0" xfId="0" applyNumberFormat="1" applyFill="1"/>
    <xf numFmtId="14" fontId="0" fillId="12" borderId="1" xfId="0" applyNumberFormat="1" applyFont="1" applyFill="1" applyBorder="1" applyAlignment="1">
      <alignment horizontal="center" vertical="center"/>
    </xf>
    <xf numFmtId="43" fontId="2" fillId="12" borderId="1" xfId="1" applyFont="1" applyFill="1" applyBorder="1"/>
    <xf numFmtId="43" fontId="2" fillId="14" borderId="1" xfId="1" applyFont="1" applyFill="1" applyBorder="1"/>
    <xf numFmtId="0" fontId="0" fillId="12" borderId="1" xfId="0" applyFill="1" applyBorder="1"/>
    <xf numFmtId="0" fontId="0" fillId="14" borderId="1" xfId="0" applyFill="1" applyBorder="1" applyAlignment="1">
      <alignment horizontal="center" vertical="center"/>
    </xf>
    <xf numFmtId="12" fontId="7" fillId="0" borderId="0" xfId="1" applyNumberFormat="1" applyFont="1" applyFill="1" applyBorder="1" applyAlignment="1">
      <alignment horizontal="center"/>
    </xf>
    <xf numFmtId="0" fontId="0" fillId="14" borderId="0" xfId="0" applyFill="1"/>
    <xf numFmtId="43" fontId="0" fillId="14" borderId="0" xfId="1" applyFont="1" applyFill="1"/>
    <xf numFmtId="43" fontId="0" fillId="14" borderId="0" xfId="1" applyFont="1" applyFill="1" applyBorder="1"/>
    <xf numFmtId="43" fontId="0" fillId="2" borderId="1" xfId="1" applyFont="1" applyFill="1" applyBorder="1"/>
    <xf numFmtId="43" fontId="0" fillId="2" borderId="0" xfId="1" applyFont="1" applyFill="1" applyBorder="1"/>
    <xf numFmtId="43" fontId="0" fillId="0" borderId="0" xfId="1" applyFont="1"/>
    <xf numFmtId="43" fontId="2" fillId="12" borderId="0" xfId="1" applyFont="1" applyFill="1" applyAlignment="1">
      <alignment horizontal="center"/>
    </xf>
    <xf numFmtId="43" fontId="2" fillId="0" borderId="0" xfId="1" applyFont="1"/>
    <xf numFmtId="43" fontId="0" fillId="0" borderId="0" xfId="1" applyFont="1" applyAlignment="1">
      <alignment horizontal="center"/>
    </xf>
    <xf numFmtId="0" fontId="2" fillId="0" borderId="0" xfId="0" applyFont="1" applyFill="1" applyBorder="1" applyAlignment="1">
      <alignment horizontal="right"/>
    </xf>
    <xf numFmtId="43" fontId="23" fillId="0" borderId="0" xfId="1" applyFont="1"/>
    <xf numFmtId="0" fontId="2" fillId="0" borderId="1" xfId="0" applyFont="1" applyBorder="1"/>
    <xf numFmtId="0" fontId="2" fillId="0" borderId="1" xfId="0" applyFont="1" applyFill="1" applyBorder="1"/>
    <xf numFmtId="43" fontId="0" fillId="15" borderId="1" xfId="1" applyFont="1" applyFill="1" applyBorder="1"/>
    <xf numFmtId="43" fontId="0" fillId="15" borderId="0" xfId="1" applyFont="1" applyFill="1" applyBorder="1"/>
    <xf numFmtId="0" fontId="0" fillId="0" borderId="0" xfId="0" applyBorder="1"/>
    <xf numFmtId="0" fontId="2" fillId="0" borderId="0" xfId="0" applyFont="1" applyFill="1" applyBorder="1" applyAlignment="1">
      <alignment horizontal="center" wrapText="1"/>
    </xf>
    <xf numFmtId="0" fontId="0" fillId="14" borderId="0" xfId="0" applyFill="1" applyBorder="1"/>
    <xf numFmtId="43" fontId="0" fillId="6" borderId="0" xfId="0" applyNumberFormat="1" applyFill="1" applyBorder="1"/>
    <xf numFmtId="43" fontId="0" fillId="6" borderId="1" xfId="0" applyNumberFormat="1" applyFill="1" applyBorder="1"/>
    <xf numFmtId="43" fontId="0" fillId="0" borderId="1" xfId="0" applyNumberFormat="1" applyBorder="1" applyAlignment="1">
      <alignment vertical="top"/>
    </xf>
    <xf numFmtId="14" fontId="2" fillId="6" borderId="1" xfId="0" applyNumberFormat="1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4" fontId="0" fillId="3" borderId="1" xfId="1" applyNumberFormat="1" applyFont="1" applyFill="1" applyBorder="1" applyAlignment="1"/>
    <xf numFmtId="43" fontId="0" fillId="16" borderId="1" xfId="1" applyFont="1" applyFill="1" applyBorder="1"/>
    <xf numFmtId="43" fontId="0" fillId="17" borderId="1" xfId="1" applyFont="1" applyFill="1" applyBorder="1"/>
    <xf numFmtId="43" fontId="0" fillId="2" borderId="0" xfId="0" applyNumberFormat="1" applyFill="1"/>
    <xf numFmtId="43" fontId="2" fillId="2" borderId="1" xfId="0" applyNumberFormat="1" applyFont="1" applyFill="1" applyBorder="1"/>
    <xf numFmtId="4" fontId="2" fillId="2" borderId="1" xfId="0" applyNumberFormat="1" applyFont="1" applyFill="1" applyBorder="1"/>
    <xf numFmtId="0" fontId="2" fillId="2" borderId="0" xfId="0" applyFont="1" applyFill="1" applyAlignment="1">
      <alignment horizontal="right"/>
    </xf>
    <xf numFmtId="43" fontId="5" fillId="2" borderId="0" xfId="0" applyNumberFormat="1" applyFont="1" applyFill="1"/>
    <xf numFmtId="43" fontId="14" fillId="2" borderId="0" xfId="0" applyNumberFormat="1" applyFont="1" applyFill="1"/>
    <xf numFmtId="0" fontId="24" fillId="0" borderId="1" xfId="0" applyFont="1" applyBorder="1" applyAlignment="1">
      <alignment horizontal="center"/>
    </xf>
    <xf numFmtId="14" fontId="7" fillId="0" borderId="4" xfId="1" applyNumberFormat="1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43" fontId="8" fillId="0" borderId="4" xfId="1" applyFont="1" applyBorder="1" applyAlignment="1">
      <alignment horizontal="center" vertical="top"/>
    </xf>
    <xf numFmtId="43" fontId="8" fillId="0" borderId="6" xfId="1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center"/>
    </xf>
    <xf numFmtId="14" fontId="7" fillId="0" borderId="0" xfId="1" applyNumberFormat="1" applyFont="1" applyFill="1" applyBorder="1" applyAlignment="1">
      <alignment horizontal="center"/>
    </xf>
    <xf numFmtId="43" fontId="7" fillId="0" borderId="0" xfId="1" applyFont="1" applyFill="1" applyBorder="1" applyAlignment="1">
      <alignment horizontal="center"/>
    </xf>
    <xf numFmtId="43" fontId="8" fillId="0" borderId="0" xfId="1" applyFont="1" applyFill="1" applyBorder="1" applyAlignment="1">
      <alignment horizontal="center" vertical="top"/>
    </xf>
    <xf numFmtId="43" fontId="2" fillId="14" borderId="10" xfId="0" applyNumberFormat="1" applyFont="1" applyFill="1" applyBorder="1" applyAlignment="1">
      <alignment vertical="center"/>
    </xf>
    <xf numFmtId="43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3" fontId="2" fillId="14" borderId="10" xfId="0" applyNumberFormat="1" applyFont="1" applyFill="1" applyBorder="1" applyAlignment="1">
      <alignment horizontal="center" vertical="center"/>
    </xf>
    <xf numFmtId="43" fontId="2" fillId="12" borderId="1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4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164" fontId="18" fillId="0" borderId="1" xfId="0" applyNumberFormat="1" applyFont="1" applyBorder="1" applyAlignment="1">
      <alignment horizontal="center" vertical="center"/>
    </xf>
    <xf numFmtId="44" fontId="16" fillId="0" borderId="4" xfId="2" applyFont="1" applyBorder="1" applyAlignment="1">
      <alignment horizontal="center"/>
    </xf>
    <xf numFmtId="44" fontId="16" fillId="0" borderId="5" xfId="2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43" fontId="7" fillId="8" borderId="1" xfId="1" applyFont="1" applyFill="1" applyBorder="1" applyAlignment="1">
      <alignment horizontal="center"/>
    </xf>
    <xf numFmtId="43" fontId="8" fillId="8" borderId="1" xfId="1" applyFont="1" applyFill="1" applyBorder="1"/>
    <xf numFmtId="0" fontId="7" fillId="8" borderId="1" xfId="0" applyFont="1" applyFill="1" applyBorder="1"/>
    <xf numFmtId="0" fontId="0" fillId="8" borderId="1" xfId="0" applyFill="1" applyBorder="1"/>
    <xf numFmtId="43" fontId="7" fillId="8" borderId="1" xfId="0" applyNumberFormat="1" applyFont="1" applyFill="1" applyBorder="1"/>
    <xf numFmtId="0" fontId="24" fillId="18" borderId="1" xfId="0" applyFont="1" applyFill="1" applyBorder="1" applyAlignment="1">
      <alignment horizontal="center"/>
    </xf>
    <xf numFmtId="0" fontId="2" fillId="18" borderId="0" xfId="0" applyFont="1" applyFill="1" applyBorder="1" applyAlignment="1">
      <alignment horizontal="center"/>
    </xf>
    <xf numFmtId="0" fontId="0" fillId="19" borderId="0" xfId="0" applyFill="1"/>
    <xf numFmtId="0" fontId="0" fillId="20" borderId="0" xfId="0" applyFill="1"/>
    <xf numFmtId="0" fontId="0" fillId="13" borderId="0" xfId="0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</xdr:row>
      <xdr:rowOff>85165</xdr:rowOff>
    </xdr:from>
    <xdr:to>
      <xdr:col>12</xdr:col>
      <xdr:colOff>619125</xdr:colOff>
      <xdr:row>18</xdr:row>
      <xdr:rowOff>533400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F258076-5930-4FDD-90A6-491F60AF74C1}"/>
            </a:ext>
          </a:extLst>
        </xdr:cNvPr>
        <xdr:cNvSpPr/>
      </xdr:nvSpPr>
      <xdr:spPr>
        <a:xfrm>
          <a:off x="485775" y="723340"/>
          <a:ext cx="9610725" cy="6896660"/>
        </a:xfrm>
        <a:prstGeom prst="roundRect">
          <a:avLst>
            <a:gd name="adj" fmla="val 231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</xdr:col>
      <xdr:colOff>87782</xdr:colOff>
      <xdr:row>4</xdr:row>
      <xdr:rowOff>148478</xdr:rowOff>
    </xdr:from>
    <xdr:to>
      <xdr:col>5</xdr:col>
      <xdr:colOff>873126</xdr:colOff>
      <xdr:row>9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9891C588-309E-440E-A2A7-B492FB9797E6}"/>
            </a:ext>
          </a:extLst>
        </xdr:cNvPr>
        <xdr:cNvSpPr txBox="1"/>
      </xdr:nvSpPr>
      <xdr:spPr>
        <a:xfrm>
          <a:off x="573557" y="2272553"/>
          <a:ext cx="4614394" cy="14993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4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Empresa: </a:t>
          </a:r>
          <a:r>
            <a:rPr lang="es-419" sz="1400" b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INVEPINCA, C.A</a:t>
          </a:r>
          <a:endParaRPr lang="es-419" sz="1400" baseline="0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4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RIF: </a:t>
          </a:r>
          <a:r>
            <a:rPr lang="es-419" sz="1400" b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J-40490348-8</a:t>
          </a:r>
        </a:p>
        <a:p>
          <a:r>
            <a:rPr lang="es-419" sz="14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Dirección: </a:t>
          </a:r>
          <a:r>
            <a:rPr lang="es-419" sz="14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Calle 68,</a:t>
          </a:r>
          <a:r>
            <a:rPr lang="es-419" sz="1400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Local N° 99-60, Barrio El Triunfo Valencia, Carabo</a:t>
          </a:r>
          <a:r>
            <a:rPr lang="es-419" sz="1200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bo, Zona postal 2001.</a:t>
          </a:r>
        </a:p>
      </xdr:txBody>
    </xdr:sp>
    <xdr:clientData/>
  </xdr:twoCellAnchor>
  <xdr:twoCellAnchor>
    <xdr:from>
      <xdr:col>2</xdr:col>
      <xdr:colOff>33618</xdr:colOff>
      <xdr:row>8</xdr:row>
      <xdr:rowOff>268942</xdr:rowOff>
    </xdr:from>
    <xdr:to>
      <xdr:col>11</xdr:col>
      <xdr:colOff>67234</xdr:colOff>
      <xdr:row>14</xdr:row>
      <xdr:rowOff>33619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E821F8F8-13D8-47A8-82B4-E2BC9FFF34A7}"/>
            </a:ext>
          </a:extLst>
        </xdr:cNvPr>
        <xdr:cNvSpPr/>
      </xdr:nvSpPr>
      <xdr:spPr>
        <a:xfrm>
          <a:off x="1033743" y="3774142"/>
          <a:ext cx="8282266" cy="2069727"/>
        </a:xfrm>
        <a:prstGeom prst="roundRect">
          <a:avLst>
            <a:gd name="adj" fmla="val 573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24/4/26</a:t>
          </a:r>
        </a:p>
      </xdr:txBody>
    </xdr:sp>
    <xdr:clientData/>
  </xdr:twoCellAnchor>
  <xdr:twoCellAnchor editAs="oneCell">
    <xdr:from>
      <xdr:col>2</xdr:col>
      <xdr:colOff>238126</xdr:colOff>
      <xdr:row>3</xdr:row>
      <xdr:rowOff>28575</xdr:rowOff>
    </xdr:from>
    <xdr:to>
      <xdr:col>3</xdr:col>
      <xdr:colOff>287338</xdr:colOff>
      <xdr:row>4</xdr:row>
      <xdr:rowOff>244475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B377B36-4562-4699-9F73-FFEC7C42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6" y="638175"/>
          <a:ext cx="550862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2763-F9C7-40B0-9DBA-06E1229433FB}">
  <sheetPr>
    <pageSetUpPr fitToPage="1"/>
  </sheetPr>
  <dimension ref="A1:X68"/>
  <sheetViews>
    <sheetView tabSelected="1" topLeftCell="F1" zoomScale="75" zoomScaleNormal="75" workbookViewId="0">
      <pane ySplit="2" topLeftCell="A3" activePane="bottomLeft" state="frozen"/>
      <selection activeCell="B3" sqref="B3:F3"/>
      <selection pane="bottomLeft" activeCell="U64" sqref="U64"/>
    </sheetView>
  </sheetViews>
  <sheetFormatPr baseColWidth="10" defaultRowHeight="15" x14ac:dyDescent="0.25"/>
  <cols>
    <col min="1" max="1" width="5" customWidth="1"/>
    <col min="2" max="2" width="2" customWidth="1"/>
    <col min="3" max="4" width="12.28515625" customWidth="1"/>
    <col min="5" max="5" width="15.42578125" customWidth="1"/>
    <col min="6" max="6" width="12.28515625" customWidth="1"/>
    <col min="7" max="9" width="14" customWidth="1"/>
    <col min="10" max="10" width="13.7109375" customWidth="1"/>
    <col min="11" max="11" width="12.7109375" customWidth="1"/>
    <col min="12" max="12" width="15.42578125" customWidth="1"/>
    <col min="13" max="13" width="14.140625" customWidth="1"/>
    <col min="14" max="14" width="3.28515625" customWidth="1"/>
    <col min="15" max="15" width="11.7109375" customWidth="1"/>
    <col min="16" max="16" width="6" customWidth="1"/>
    <col min="17" max="17" width="17.5703125" customWidth="1"/>
    <col min="18" max="18" width="3.140625" customWidth="1"/>
    <col min="19" max="19" width="19.42578125" customWidth="1"/>
    <col min="20" max="20" width="3.85546875" customWidth="1"/>
    <col min="21" max="21" width="28" customWidth="1"/>
    <col min="22" max="22" width="16.42578125" customWidth="1"/>
    <col min="23" max="23" width="20.140625" customWidth="1"/>
    <col min="25" max="25" width="16.7109375" customWidth="1"/>
  </cols>
  <sheetData>
    <row r="1" spans="1:23" ht="27" customHeight="1" x14ac:dyDescent="0.35">
      <c r="A1" s="227" t="s">
        <v>6</v>
      </c>
      <c r="B1" s="227"/>
      <c r="C1" s="227"/>
      <c r="D1" s="227"/>
      <c r="E1" s="227"/>
      <c r="F1" s="227"/>
      <c r="G1" s="227"/>
      <c r="H1" s="227"/>
      <c r="I1" s="227"/>
      <c r="J1" s="227"/>
      <c r="K1" s="228"/>
      <c r="L1" s="228"/>
      <c r="M1" s="229"/>
      <c r="O1" s="230"/>
      <c r="Q1" s="231"/>
      <c r="S1" s="231"/>
      <c r="T1" s="36"/>
    </row>
    <row r="2" spans="1:23" ht="33.75" customHeight="1" x14ac:dyDescent="0.25">
      <c r="A2" s="15" t="s">
        <v>2</v>
      </c>
      <c r="B2" s="15"/>
      <c r="C2" s="15" t="s">
        <v>156</v>
      </c>
      <c r="D2" s="16" t="s">
        <v>1</v>
      </c>
      <c r="E2" s="17" t="s">
        <v>4</v>
      </c>
      <c r="F2" s="18" t="s">
        <v>7</v>
      </c>
      <c r="G2" s="20" t="s">
        <v>8</v>
      </c>
      <c r="H2" s="20" t="s">
        <v>182</v>
      </c>
      <c r="I2" s="20" t="s">
        <v>179</v>
      </c>
      <c r="J2" s="27" t="s">
        <v>13</v>
      </c>
      <c r="K2" s="27" t="s">
        <v>14</v>
      </c>
      <c r="L2" s="25" t="s">
        <v>3</v>
      </c>
      <c r="M2" s="49" t="s">
        <v>20</v>
      </c>
      <c r="N2" s="72"/>
      <c r="O2" s="49" t="s">
        <v>110</v>
      </c>
      <c r="P2" s="72"/>
      <c r="Q2" s="171" t="s">
        <v>178</v>
      </c>
      <c r="R2" s="72"/>
      <c r="S2" s="171" t="s">
        <v>184</v>
      </c>
    </row>
    <row r="3" spans="1:23" x14ac:dyDescent="0.25">
      <c r="A3" s="7">
        <v>1</v>
      </c>
      <c r="B3" s="8"/>
      <c r="C3" s="176" t="s">
        <v>125</v>
      </c>
      <c r="D3" s="177">
        <v>46149</v>
      </c>
      <c r="E3" s="10">
        <f>16965+13702.5+36836.39</f>
        <v>67503.89</v>
      </c>
      <c r="F3" s="178">
        <v>652.5</v>
      </c>
      <c r="G3" s="10">
        <f t="shared" ref="G3:G17" si="0">+E3/F3</f>
        <v>103.45423754789272</v>
      </c>
      <c r="H3" s="10"/>
      <c r="I3" s="10"/>
      <c r="J3" s="179">
        <v>0</v>
      </c>
      <c r="K3" s="179">
        <v>0</v>
      </c>
      <c r="L3" s="180">
        <f>174+103+522</f>
        <v>799</v>
      </c>
      <c r="M3" s="141">
        <f>+G3+J3+K3+L3+I3</f>
        <v>902.45423754789272</v>
      </c>
      <c r="N3" s="173"/>
      <c r="O3" s="174">
        <f>+M3-L3</f>
        <v>103.45423754789272</v>
      </c>
      <c r="P3" s="173"/>
      <c r="Q3" s="174">
        <v>69895.8</v>
      </c>
      <c r="R3" s="173"/>
      <c r="S3" s="175">
        <v>174</v>
      </c>
      <c r="T3" s="36"/>
    </row>
    <row r="4" spans="1:23" x14ac:dyDescent="0.25">
      <c r="A4" s="7">
        <v>2</v>
      </c>
      <c r="B4" s="38"/>
      <c r="C4" s="128" t="s">
        <v>141</v>
      </c>
      <c r="D4" s="13">
        <v>46150</v>
      </c>
      <c r="E4" s="10">
        <f>57306.9+17126.2+72391.6</f>
        <v>146824.70000000001</v>
      </c>
      <c r="F4" s="10">
        <v>658.7</v>
      </c>
      <c r="G4" s="10">
        <f t="shared" si="0"/>
        <v>222.90071352664339</v>
      </c>
      <c r="H4" s="10"/>
      <c r="I4" s="10"/>
      <c r="J4" s="12">
        <v>9</v>
      </c>
      <c r="K4" s="12">
        <v>0</v>
      </c>
      <c r="L4" s="26">
        <v>26</v>
      </c>
      <c r="M4" s="141">
        <f t="shared" ref="M4:M19" si="1">+G4+J4+K4+L4+I4</f>
        <v>257.90071352664336</v>
      </c>
      <c r="N4" s="73"/>
      <c r="O4" s="4">
        <f t="shared" ref="O4:O17" si="2">+M4-L4</f>
        <v>231.90071352664336</v>
      </c>
      <c r="P4" s="73"/>
      <c r="Q4" s="174">
        <v>109340.72</v>
      </c>
      <c r="R4" s="73"/>
      <c r="S4" s="4"/>
      <c r="U4" t="s">
        <v>150</v>
      </c>
    </row>
    <row r="5" spans="1:23" ht="15.75" x14ac:dyDescent="0.25">
      <c r="A5" s="7">
        <v>3</v>
      </c>
      <c r="B5" s="38"/>
      <c r="C5" s="128" t="s">
        <v>142</v>
      </c>
      <c r="D5" s="13">
        <v>46153</v>
      </c>
      <c r="E5" s="10">
        <f>4533.2+40151.2+4533.2</f>
        <v>49217.599999999991</v>
      </c>
      <c r="F5" s="10">
        <v>647.6</v>
      </c>
      <c r="G5" s="10">
        <f t="shared" si="0"/>
        <v>75.999999999999986</v>
      </c>
      <c r="H5" s="10"/>
      <c r="I5" s="10"/>
      <c r="J5" s="12">
        <v>0</v>
      </c>
      <c r="K5" s="12">
        <v>0</v>
      </c>
      <c r="L5" s="26">
        <v>184</v>
      </c>
      <c r="M5" s="141">
        <f t="shared" si="1"/>
        <v>260</v>
      </c>
      <c r="N5" s="73"/>
      <c r="O5" s="4">
        <f t="shared" si="2"/>
        <v>76</v>
      </c>
      <c r="P5" s="73"/>
      <c r="Q5" s="174"/>
      <c r="R5" s="73"/>
      <c r="S5" s="4"/>
      <c r="V5" s="192" t="s">
        <v>146</v>
      </c>
      <c r="W5" s="193"/>
    </row>
    <row r="6" spans="1:23" ht="18.75" x14ac:dyDescent="0.3">
      <c r="A6" s="7">
        <v>4</v>
      </c>
      <c r="B6" s="38"/>
      <c r="C6" s="128" t="s">
        <v>143</v>
      </c>
      <c r="D6" s="13">
        <v>46154</v>
      </c>
      <c r="E6" s="10">
        <f>4562.88+43673.28</f>
        <v>48236.159999999996</v>
      </c>
      <c r="F6" s="10">
        <v>651.84</v>
      </c>
      <c r="G6" s="10">
        <f t="shared" si="0"/>
        <v>73.999999999999986</v>
      </c>
      <c r="H6" s="10"/>
      <c r="I6" s="10"/>
      <c r="J6" s="12">
        <v>0</v>
      </c>
      <c r="K6" s="12">
        <v>106</v>
      </c>
      <c r="L6" s="26">
        <v>0</v>
      </c>
      <c r="M6" s="141">
        <f t="shared" si="1"/>
        <v>180</v>
      </c>
      <c r="N6" s="73"/>
      <c r="O6" s="4">
        <f t="shared" si="2"/>
        <v>180</v>
      </c>
      <c r="P6" s="73"/>
      <c r="Q6" s="174"/>
      <c r="R6" s="73"/>
      <c r="S6" s="4"/>
      <c r="U6" s="30" t="s">
        <v>1</v>
      </c>
      <c r="V6" s="188">
        <v>46169</v>
      </c>
      <c r="W6" s="189"/>
    </row>
    <row r="7" spans="1:23" ht="18.75" x14ac:dyDescent="0.25">
      <c r="A7" s="7">
        <v>5</v>
      </c>
      <c r="B7" s="38"/>
      <c r="C7" s="128" t="s">
        <v>146</v>
      </c>
      <c r="D7" s="13">
        <v>46155</v>
      </c>
      <c r="E7" s="10">
        <v>46218.9</v>
      </c>
      <c r="F7" s="10">
        <v>660.27</v>
      </c>
      <c r="G7" s="10">
        <f t="shared" si="0"/>
        <v>70</v>
      </c>
      <c r="H7" s="10"/>
      <c r="I7" s="10"/>
      <c r="J7" s="12">
        <v>0</v>
      </c>
      <c r="K7" s="12">
        <v>0</v>
      </c>
      <c r="L7" s="26">
        <f>348+481.5</f>
        <v>829.5</v>
      </c>
      <c r="M7" s="141">
        <f t="shared" si="1"/>
        <v>899.5</v>
      </c>
      <c r="N7" s="73"/>
      <c r="O7" s="4">
        <f t="shared" si="2"/>
        <v>70</v>
      </c>
      <c r="P7" s="73"/>
      <c r="Q7" s="174"/>
      <c r="R7" s="73"/>
      <c r="S7" s="4"/>
      <c r="U7" s="31" t="s">
        <v>7</v>
      </c>
      <c r="V7" s="190">
        <v>734.9</v>
      </c>
      <c r="W7" s="191"/>
    </row>
    <row r="8" spans="1:23" ht="18.75" x14ac:dyDescent="0.3">
      <c r="A8" s="7">
        <v>6</v>
      </c>
      <c r="B8" s="38"/>
      <c r="C8" s="128" t="s">
        <v>149</v>
      </c>
      <c r="D8" s="13">
        <v>46156</v>
      </c>
      <c r="E8" s="10">
        <v>34606.519999999997</v>
      </c>
      <c r="F8" s="10">
        <v>665.51</v>
      </c>
      <c r="G8" s="10">
        <f t="shared" si="0"/>
        <v>51.999999999999993</v>
      </c>
      <c r="H8" s="10"/>
      <c r="I8" s="10"/>
      <c r="J8" s="12">
        <v>0</v>
      </c>
      <c r="K8" s="12">
        <v>0</v>
      </c>
      <c r="L8" s="26">
        <v>0</v>
      </c>
      <c r="M8" s="141">
        <f t="shared" si="1"/>
        <v>51.999999999999993</v>
      </c>
      <c r="N8" s="73"/>
      <c r="O8" s="4">
        <f t="shared" si="2"/>
        <v>51.999999999999993</v>
      </c>
      <c r="P8" s="73"/>
      <c r="Q8" s="174"/>
      <c r="R8" s="73"/>
      <c r="S8" s="4"/>
      <c r="U8" s="126" t="s">
        <v>18</v>
      </c>
      <c r="V8" s="33">
        <v>0</v>
      </c>
      <c r="W8" s="35">
        <v>20</v>
      </c>
    </row>
    <row r="9" spans="1:23" ht="18.75" x14ac:dyDescent="0.3">
      <c r="A9" s="7">
        <v>7</v>
      </c>
      <c r="B9" s="38"/>
      <c r="C9" s="128" t="s">
        <v>151</v>
      </c>
      <c r="D9" s="13">
        <v>46157</v>
      </c>
      <c r="E9" s="10">
        <f>37011.7+4710.57+20861.12</f>
        <v>62583.39</v>
      </c>
      <c r="F9" s="10">
        <v>672.94</v>
      </c>
      <c r="G9" s="10">
        <f t="shared" si="0"/>
        <v>92.99995541950247</v>
      </c>
      <c r="H9" s="10"/>
      <c r="I9" s="10"/>
      <c r="J9" s="12">
        <v>112</v>
      </c>
      <c r="K9" s="12">
        <v>0</v>
      </c>
      <c r="L9" s="26"/>
      <c r="M9" s="141">
        <f t="shared" si="1"/>
        <v>204.99995541950247</v>
      </c>
      <c r="N9" s="73"/>
      <c r="O9" s="4">
        <f t="shared" si="2"/>
        <v>204.99995541950247</v>
      </c>
      <c r="P9" s="73"/>
      <c r="Q9" s="174"/>
      <c r="R9" s="73"/>
      <c r="S9" s="4">
        <v>160</v>
      </c>
      <c r="U9" s="32" t="s">
        <v>16</v>
      </c>
      <c r="V9" s="33">
        <v>7000</v>
      </c>
      <c r="W9" s="33">
        <f>+V9/V7</f>
        <v>9.5251054565246971</v>
      </c>
    </row>
    <row r="10" spans="1:23" ht="18.75" x14ac:dyDescent="0.3">
      <c r="A10" s="7">
        <v>8</v>
      </c>
      <c r="B10" s="38"/>
      <c r="C10" s="128" t="s">
        <v>142</v>
      </c>
      <c r="D10" s="13">
        <v>46160</v>
      </c>
      <c r="E10" s="10">
        <f>71424.19+23808.16</f>
        <v>95232.35</v>
      </c>
      <c r="F10" s="10">
        <v>700.24</v>
      </c>
      <c r="G10" s="10">
        <f t="shared" si="0"/>
        <v>135.99958585627786</v>
      </c>
      <c r="H10" s="10"/>
      <c r="I10" s="10"/>
      <c r="J10" s="12">
        <v>0</v>
      </c>
      <c r="K10" s="12">
        <v>165</v>
      </c>
      <c r="L10" s="26">
        <f>14+92+127</f>
        <v>233</v>
      </c>
      <c r="M10" s="141">
        <f t="shared" si="1"/>
        <v>533.99958585627792</v>
      </c>
      <c r="N10" s="73"/>
      <c r="O10" s="4">
        <f t="shared" si="2"/>
        <v>300.99958585627792</v>
      </c>
      <c r="P10" s="73"/>
      <c r="Q10" s="174">
        <v>5601.92</v>
      </c>
      <c r="R10" s="73"/>
      <c r="S10" s="4">
        <v>600</v>
      </c>
      <c r="U10" s="127" t="s">
        <v>15</v>
      </c>
      <c r="V10" s="33">
        <f>+E17</f>
        <v>51057.1</v>
      </c>
      <c r="W10" s="33">
        <f>+V10/V7</f>
        <v>69.474894543475301</v>
      </c>
    </row>
    <row r="11" spans="1:23" ht="22.5" customHeight="1" x14ac:dyDescent="0.3">
      <c r="A11" s="7">
        <v>9</v>
      </c>
      <c r="B11" s="38"/>
      <c r="C11" s="128" t="s">
        <v>143</v>
      </c>
      <c r="D11" s="13">
        <v>46161</v>
      </c>
      <c r="E11" s="10">
        <v>0</v>
      </c>
      <c r="F11" s="10">
        <v>714.74</v>
      </c>
      <c r="G11" s="10">
        <f t="shared" si="0"/>
        <v>0</v>
      </c>
      <c r="H11" s="10"/>
      <c r="I11" s="10"/>
      <c r="J11" s="12">
        <v>20</v>
      </c>
      <c r="K11" s="12">
        <v>0</v>
      </c>
      <c r="L11" s="26">
        <v>0</v>
      </c>
      <c r="M11" s="141">
        <f t="shared" si="1"/>
        <v>20</v>
      </c>
      <c r="N11" s="73"/>
      <c r="O11" s="4">
        <f t="shared" si="2"/>
        <v>20</v>
      </c>
      <c r="P11" s="73"/>
      <c r="Q11" s="174"/>
      <c r="R11" s="73"/>
      <c r="S11" s="4"/>
      <c r="U11" s="34" t="s">
        <v>14</v>
      </c>
      <c r="V11" s="33">
        <v>0</v>
      </c>
      <c r="W11" s="33">
        <v>0</v>
      </c>
    </row>
    <row r="12" spans="1:23" ht="18.75" customHeight="1" x14ac:dyDescent="0.3">
      <c r="A12" s="7">
        <v>10</v>
      </c>
      <c r="B12" s="38"/>
      <c r="C12" s="128" t="s">
        <v>146</v>
      </c>
      <c r="D12" s="13">
        <v>46162</v>
      </c>
      <c r="E12" s="10">
        <f>23218.47+48547.71</f>
        <v>71766.179999999993</v>
      </c>
      <c r="F12" s="10">
        <v>703.59</v>
      </c>
      <c r="G12" s="10">
        <f t="shared" si="0"/>
        <v>101.99999999999999</v>
      </c>
      <c r="H12" s="10"/>
      <c r="I12" s="10"/>
      <c r="J12" s="12">
        <v>62</v>
      </c>
      <c r="K12" s="12">
        <v>0</v>
      </c>
      <c r="L12" s="26">
        <v>516</v>
      </c>
      <c r="M12" s="141">
        <f t="shared" si="1"/>
        <v>680</v>
      </c>
      <c r="N12" s="73"/>
      <c r="O12" s="4">
        <f t="shared" si="2"/>
        <v>164</v>
      </c>
      <c r="P12" s="73"/>
      <c r="Q12" s="174"/>
      <c r="R12" s="73"/>
      <c r="S12" s="4"/>
      <c r="U12" s="68" t="s">
        <v>113</v>
      </c>
      <c r="V12" s="33"/>
      <c r="W12" s="33">
        <v>0</v>
      </c>
    </row>
    <row r="13" spans="1:23" ht="18.75" x14ac:dyDescent="0.3">
      <c r="A13" s="7">
        <v>11</v>
      </c>
      <c r="B13" s="38"/>
      <c r="C13" s="38" t="s">
        <v>125</v>
      </c>
      <c r="D13" s="13">
        <v>46163</v>
      </c>
      <c r="E13" s="10">
        <f>13542.06+14254.8</f>
        <v>27796.86</v>
      </c>
      <c r="F13" s="10">
        <v>712.74</v>
      </c>
      <c r="G13" s="10">
        <f t="shared" si="0"/>
        <v>39</v>
      </c>
      <c r="H13" s="10"/>
      <c r="I13" s="10"/>
      <c r="J13" s="12">
        <v>123</v>
      </c>
      <c r="K13" s="12">
        <v>0</v>
      </c>
      <c r="L13" s="26"/>
      <c r="M13" s="141">
        <f t="shared" si="1"/>
        <v>162</v>
      </c>
      <c r="N13" s="73"/>
      <c r="O13" s="4">
        <f t="shared" si="2"/>
        <v>162</v>
      </c>
      <c r="P13" s="73"/>
      <c r="Q13" s="174"/>
      <c r="R13" s="73"/>
      <c r="S13" s="4"/>
      <c r="U13" s="222" t="s">
        <v>153</v>
      </c>
      <c r="V13" s="223"/>
      <c r="W13" s="223">
        <f>+W8+W9+W10+W11+W12</f>
        <v>99</v>
      </c>
    </row>
    <row r="14" spans="1:23" ht="15" customHeight="1" x14ac:dyDescent="0.3">
      <c r="A14" s="7">
        <v>12</v>
      </c>
      <c r="B14" s="38"/>
      <c r="C14" s="38" t="s">
        <v>141</v>
      </c>
      <c r="D14" s="13">
        <v>46164</v>
      </c>
      <c r="E14" s="10">
        <f>24926+27189+5008.5</f>
        <v>57123.5</v>
      </c>
      <c r="F14" s="10">
        <v>715.5</v>
      </c>
      <c r="G14" s="10">
        <f t="shared" si="0"/>
        <v>79.837176799440954</v>
      </c>
      <c r="H14" s="10"/>
      <c r="I14" s="10"/>
      <c r="J14" s="12">
        <v>174</v>
      </c>
      <c r="K14" s="12">
        <v>0</v>
      </c>
      <c r="L14" s="26">
        <f>81+260</f>
        <v>341</v>
      </c>
      <c r="M14" s="141">
        <f t="shared" si="1"/>
        <v>594.83717679944095</v>
      </c>
      <c r="N14" s="73"/>
      <c r="O14" s="4">
        <f t="shared" si="2"/>
        <v>253.83717679944095</v>
      </c>
      <c r="P14" s="73"/>
      <c r="Q14" s="174"/>
      <c r="R14" s="73"/>
      <c r="S14" s="4"/>
      <c r="U14" s="125" t="s">
        <v>17</v>
      </c>
      <c r="V14" s="33"/>
      <c r="W14" s="33">
        <v>870</v>
      </c>
    </row>
    <row r="15" spans="1:23" ht="18.75" x14ac:dyDescent="0.3">
      <c r="A15" s="7">
        <v>13</v>
      </c>
      <c r="B15" s="38"/>
      <c r="C15" s="38" t="s">
        <v>142</v>
      </c>
      <c r="D15" s="13">
        <v>46167</v>
      </c>
      <c r="E15" s="10">
        <f>134788.63+8696.04+5072.69</f>
        <v>148557.36000000002</v>
      </c>
      <c r="F15" s="10">
        <v>724.67</v>
      </c>
      <c r="G15" s="10">
        <f t="shared" si="0"/>
        <v>205.00001379938459</v>
      </c>
      <c r="H15" s="10"/>
      <c r="I15" s="10"/>
      <c r="J15" s="12">
        <v>64</v>
      </c>
      <c r="K15" s="12"/>
      <c r="L15" s="26">
        <f>38+610+92</f>
        <v>740</v>
      </c>
      <c r="M15" s="141">
        <f t="shared" si="1"/>
        <v>1009.0000137993845</v>
      </c>
      <c r="N15" s="73"/>
      <c r="O15" s="4">
        <f t="shared" si="2"/>
        <v>269.00001379938453</v>
      </c>
      <c r="P15" s="73"/>
      <c r="Q15" s="174">
        <f>24783.42+33486</f>
        <v>58269.42</v>
      </c>
      <c r="R15" s="73"/>
      <c r="S15" s="4">
        <v>148.5</v>
      </c>
      <c r="U15" s="224" t="s">
        <v>19</v>
      </c>
      <c r="V15" s="225"/>
      <c r="W15" s="226">
        <f>+W13+W14</f>
        <v>969</v>
      </c>
    </row>
    <row r="16" spans="1:23" ht="23.25" customHeight="1" x14ac:dyDescent="0.25">
      <c r="A16" s="7">
        <v>14</v>
      </c>
      <c r="B16" s="7"/>
      <c r="C16" s="7" t="s">
        <v>143</v>
      </c>
      <c r="D16" s="13">
        <v>46168</v>
      </c>
      <c r="E16" s="10">
        <f>54408.4+18613.39+10022.6</f>
        <v>83044.390000000014</v>
      </c>
      <c r="F16" s="10">
        <v>715.9</v>
      </c>
      <c r="G16" s="10">
        <f t="shared" si="0"/>
        <v>115.99998603156868</v>
      </c>
      <c r="H16" s="10"/>
      <c r="I16" s="10"/>
      <c r="J16" s="12">
        <v>7</v>
      </c>
      <c r="K16" s="12">
        <v>0</v>
      </c>
      <c r="L16" s="26">
        <v>605</v>
      </c>
      <c r="M16" s="141">
        <f t="shared" si="1"/>
        <v>727.99998603156871</v>
      </c>
      <c r="N16" s="73"/>
      <c r="O16" s="4">
        <f t="shared" si="2"/>
        <v>122.99998603156871</v>
      </c>
      <c r="P16" s="73"/>
      <c r="Q16" s="174"/>
      <c r="R16" s="73"/>
      <c r="S16" s="4">
        <v>85.5</v>
      </c>
    </row>
    <row r="17" spans="1:24" x14ac:dyDescent="0.25">
      <c r="A17" s="7">
        <v>15</v>
      </c>
      <c r="B17" s="7"/>
      <c r="C17" s="7" t="s">
        <v>146</v>
      </c>
      <c r="D17" s="13">
        <v>46169</v>
      </c>
      <c r="E17" s="10">
        <f>21312.1+7698+22047</f>
        <v>51057.1</v>
      </c>
      <c r="F17" s="10">
        <v>734.9</v>
      </c>
      <c r="G17" s="10">
        <f t="shared" si="0"/>
        <v>69.474894543475301</v>
      </c>
      <c r="H17" s="10">
        <v>7000</v>
      </c>
      <c r="I17" s="10">
        <f>+H17/F17</f>
        <v>9.5251054565246971</v>
      </c>
      <c r="J17" s="12">
        <v>20</v>
      </c>
      <c r="K17" s="12">
        <v>0</v>
      </c>
      <c r="L17" s="26">
        <v>870</v>
      </c>
      <c r="M17" s="141">
        <f t="shared" si="1"/>
        <v>969</v>
      </c>
      <c r="N17" s="73"/>
      <c r="O17" s="4">
        <f t="shared" si="2"/>
        <v>99</v>
      </c>
      <c r="P17" s="73"/>
      <c r="Q17" s="174"/>
      <c r="R17" s="73"/>
      <c r="S17" s="4"/>
      <c r="U17" s="107"/>
      <c r="V17" s="107"/>
      <c r="W17" s="107"/>
      <c r="X17" s="107"/>
    </row>
    <row r="18" spans="1:24" ht="15.75" x14ac:dyDescent="0.25">
      <c r="A18" s="7">
        <v>16</v>
      </c>
      <c r="B18" s="7"/>
      <c r="C18" s="7"/>
      <c r="D18" s="13"/>
      <c r="E18" s="10"/>
      <c r="F18" s="10"/>
      <c r="G18" s="10"/>
      <c r="H18" s="10"/>
      <c r="I18" s="10"/>
      <c r="J18" s="12"/>
      <c r="K18" s="12"/>
      <c r="L18" s="26"/>
      <c r="M18" s="141">
        <f t="shared" si="1"/>
        <v>0</v>
      </c>
      <c r="N18" s="73"/>
      <c r="O18" s="29"/>
      <c r="P18" s="170"/>
      <c r="Q18" s="174"/>
      <c r="R18" s="170"/>
      <c r="S18" s="4"/>
      <c r="U18" s="107"/>
      <c r="V18" s="195"/>
      <c r="W18" s="195"/>
      <c r="X18" s="107"/>
    </row>
    <row r="19" spans="1:24" ht="18.75" hidden="1" x14ac:dyDescent="0.3">
      <c r="A19" s="7">
        <v>17</v>
      </c>
      <c r="B19" s="7"/>
      <c r="C19" s="7"/>
      <c r="D19" s="13"/>
      <c r="E19" s="10"/>
      <c r="F19" s="10"/>
      <c r="G19" s="10"/>
      <c r="H19" s="10"/>
      <c r="I19" s="10"/>
      <c r="J19" s="12"/>
      <c r="K19" s="12"/>
      <c r="L19" s="26"/>
      <c r="M19" s="141">
        <f t="shared" si="1"/>
        <v>0</v>
      </c>
      <c r="N19" s="73"/>
      <c r="O19" s="29"/>
      <c r="P19" s="170"/>
      <c r="Q19" s="174"/>
      <c r="R19" s="170"/>
      <c r="S19" s="4"/>
      <c r="U19" s="154"/>
      <c r="V19" s="196"/>
      <c r="W19" s="197"/>
      <c r="X19" s="107"/>
    </row>
    <row r="20" spans="1:24" ht="18.75" hidden="1" x14ac:dyDescent="0.25">
      <c r="A20" s="7">
        <v>18</v>
      </c>
      <c r="B20" s="7"/>
      <c r="C20" s="7"/>
      <c r="D20" s="13"/>
      <c r="E20" s="10"/>
      <c r="F20" s="10"/>
      <c r="G20" s="10"/>
      <c r="H20" s="10"/>
      <c r="I20" s="10"/>
      <c r="J20" s="12"/>
      <c r="K20" s="12"/>
      <c r="L20" s="26"/>
      <c r="M20" s="4">
        <f t="shared" ref="M20:M62" si="3">+G20+J20+K20+L20</f>
        <v>0</v>
      </c>
      <c r="N20" s="73"/>
      <c r="O20" s="29"/>
      <c r="P20" s="170"/>
      <c r="Q20" s="174"/>
      <c r="R20" s="170"/>
      <c r="S20" s="4"/>
      <c r="U20" s="130"/>
      <c r="V20" s="198"/>
      <c r="W20" s="198"/>
      <c r="X20" s="107"/>
    </row>
    <row r="21" spans="1:24" ht="18.75" hidden="1" x14ac:dyDescent="0.3">
      <c r="A21" s="7">
        <v>19</v>
      </c>
      <c r="B21" s="7"/>
      <c r="C21" s="7"/>
      <c r="D21" s="13"/>
      <c r="E21" s="10"/>
      <c r="F21" s="10"/>
      <c r="G21" s="10"/>
      <c r="H21" s="10"/>
      <c r="I21" s="10"/>
      <c r="J21" s="12"/>
      <c r="K21" s="12"/>
      <c r="L21" s="26"/>
      <c r="M21" s="4">
        <f t="shared" si="3"/>
        <v>0</v>
      </c>
      <c r="N21" s="73"/>
      <c r="O21" s="29"/>
      <c r="P21" s="170"/>
      <c r="Q21" s="174"/>
      <c r="R21" s="170"/>
      <c r="S21" s="4"/>
      <c r="U21" s="130"/>
      <c r="V21" s="131"/>
      <c r="W21" s="129"/>
      <c r="X21" s="107"/>
    </row>
    <row r="22" spans="1:24" ht="18.75" hidden="1" x14ac:dyDescent="0.3">
      <c r="A22" s="7">
        <v>20</v>
      </c>
      <c r="B22" s="7"/>
      <c r="C22" s="7"/>
      <c r="D22" s="13"/>
      <c r="E22" s="10"/>
      <c r="F22" s="10"/>
      <c r="G22" s="10"/>
      <c r="H22" s="10"/>
      <c r="I22" s="10"/>
      <c r="J22" s="12"/>
      <c r="K22" s="12"/>
      <c r="L22" s="26"/>
      <c r="M22" s="4">
        <f t="shared" si="3"/>
        <v>0</v>
      </c>
      <c r="N22" s="73"/>
      <c r="O22" s="29"/>
      <c r="P22" s="170"/>
      <c r="Q22" s="174"/>
      <c r="R22" s="170"/>
      <c r="S22" s="4"/>
      <c r="U22" s="130"/>
      <c r="V22" s="131"/>
      <c r="W22" s="131"/>
      <c r="X22" s="107"/>
    </row>
    <row r="23" spans="1:24" ht="18.75" hidden="1" x14ac:dyDescent="0.3">
      <c r="A23" s="7">
        <v>21</v>
      </c>
      <c r="B23" s="7"/>
      <c r="C23" s="7"/>
      <c r="D23" s="13"/>
      <c r="E23" s="10"/>
      <c r="F23" s="10"/>
      <c r="G23" s="10"/>
      <c r="H23" s="10"/>
      <c r="I23" s="10"/>
      <c r="J23" s="12"/>
      <c r="K23" s="12"/>
      <c r="L23" s="26"/>
      <c r="M23" s="4">
        <f t="shared" si="3"/>
        <v>0</v>
      </c>
      <c r="N23" s="73"/>
      <c r="O23" s="29"/>
      <c r="P23" s="170"/>
      <c r="Q23" s="174"/>
      <c r="R23" s="170"/>
      <c r="S23" s="4"/>
      <c r="U23" s="132"/>
      <c r="V23" s="131"/>
      <c r="W23" s="131"/>
      <c r="X23" s="107"/>
    </row>
    <row r="24" spans="1:24" ht="18.75" hidden="1" x14ac:dyDescent="0.3">
      <c r="A24" s="7">
        <v>22</v>
      </c>
      <c r="B24" s="7"/>
      <c r="C24" s="7"/>
      <c r="D24" s="13"/>
      <c r="E24" s="10"/>
      <c r="F24" s="10"/>
      <c r="G24" s="10"/>
      <c r="H24" s="10"/>
      <c r="I24" s="10"/>
      <c r="J24" s="12"/>
      <c r="K24" s="12"/>
      <c r="L24" s="26"/>
      <c r="M24" s="4">
        <f t="shared" si="3"/>
        <v>0</v>
      </c>
      <c r="N24" s="73"/>
      <c r="O24" s="29"/>
      <c r="P24" s="170"/>
      <c r="Q24" s="174"/>
      <c r="R24" s="170"/>
      <c r="S24" s="4"/>
      <c r="U24" s="132"/>
      <c r="V24" s="131"/>
      <c r="W24" s="131"/>
      <c r="X24" s="107"/>
    </row>
    <row r="25" spans="1:24" ht="18.75" hidden="1" x14ac:dyDescent="0.3">
      <c r="A25" s="7">
        <v>23</v>
      </c>
      <c r="B25" s="7"/>
      <c r="C25" s="7"/>
      <c r="D25" s="13"/>
      <c r="E25" s="10"/>
      <c r="F25" s="10"/>
      <c r="G25" s="10"/>
      <c r="H25" s="10"/>
      <c r="I25" s="10"/>
      <c r="J25" s="12"/>
      <c r="K25" s="12"/>
      <c r="L25" s="26"/>
      <c r="M25" s="4">
        <f t="shared" si="3"/>
        <v>0</v>
      </c>
      <c r="N25" s="73"/>
      <c r="O25" s="29"/>
      <c r="P25" s="170"/>
      <c r="Q25" s="174"/>
      <c r="R25" s="170"/>
      <c r="S25" s="4"/>
      <c r="U25" s="132"/>
      <c r="V25" s="131"/>
      <c r="W25" s="131"/>
      <c r="X25" s="107"/>
    </row>
    <row r="26" spans="1:24" ht="18.75" hidden="1" x14ac:dyDescent="0.3">
      <c r="A26" s="7">
        <v>24</v>
      </c>
      <c r="B26" s="7"/>
      <c r="C26" s="7"/>
      <c r="D26" s="13"/>
      <c r="E26" s="10"/>
      <c r="F26" s="10"/>
      <c r="G26" s="10"/>
      <c r="H26" s="10"/>
      <c r="I26" s="10"/>
      <c r="J26" s="12"/>
      <c r="K26" s="12"/>
      <c r="L26" s="26"/>
      <c r="M26" s="4">
        <f t="shared" si="3"/>
        <v>0</v>
      </c>
      <c r="N26" s="73"/>
      <c r="O26" s="29"/>
      <c r="P26" s="170"/>
      <c r="Q26" s="174"/>
      <c r="R26" s="170"/>
      <c r="S26" s="4"/>
      <c r="U26" s="129"/>
      <c r="V26" s="131"/>
      <c r="W26" s="131"/>
      <c r="X26" s="107"/>
    </row>
    <row r="27" spans="1:24" ht="18.75" hidden="1" x14ac:dyDescent="0.3">
      <c r="A27" s="7">
        <v>25</v>
      </c>
      <c r="B27" s="7"/>
      <c r="C27" s="7"/>
      <c r="D27" s="13"/>
      <c r="E27" s="10"/>
      <c r="F27" s="10"/>
      <c r="G27" s="10"/>
      <c r="H27" s="10"/>
      <c r="I27" s="10"/>
      <c r="J27" s="12"/>
      <c r="K27" s="12"/>
      <c r="L27" s="26"/>
      <c r="M27" s="4">
        <f t="shared" si="3"/>
        <v>0</v>
      </c>
      <c r="N27" s="73"/>
      <c r="O27" s="29"/>
      <c r="P27" s="170"/>
      <c r="Q27" s="174"/>
      <c r="R27" s="170"/>
      <c r="S27" s="4"/>
      <c r="U27" s="129"/>
      <c r="V27" s="133"/>
      <c r="W27" s="134"/>
      <c r="X27" s="107"/>
    </row>
    <row r="28" spans="1:24" ht="18.75" hidden="1" x14ac:dyDescent="0.3">
      <c r="A28" s="7">
        <v>26</v>
      </c>
      <c r="B28" s="7"/>
      <c r="C28" s="7"/>
      <c r="D28" s="13"/>
      <c r="E28" s="10"/>
      <c r="F28" s="10"/>
      <c r="G28" s="10"/>
      <c r="H28" s="10"/>
      <c r="I28" s="10"/>
      <c r="J28" s="12"/>
      <c r="K28" s="12"/>
      <c r="L28" s="26"/>
      <c r="M28" s="4">
        <f t="shared" si="3"/>
        <v>0</v>
      </c>
      <c r="N28" s="73"/>
      <c r="O28" s="29"/>
      <c r="P28" s="170"/>
      <c r="Q28" s="174"/>
      <c r="R28" s="170"/>
      <c r="S28" s="4"/>
      <c r="U28" s="135"/>
      <c r="V28" s="107"/>
      <c r="W28" s="136"/>
      <c r="X28" s="107"/>
    </row>
    <row r="29" spans="1:24" hidden="1" x14ac:dyDescent="0.25">
      <c r="A29" s="7">
        <v>27</v>
      </c>
      <c r="B29" s="7"/>
      <c r="C29" s="7"/>
      <c r="D29" s="13"/>
      <c r="E29" s="10"/>
      <c r="F29" s="10"/>
      <c r="G29" s="10"/>
      <c r="H29" s="10"/>
      <c r="I29" s="10"/>
      <c r="J29" s="12"/>
      <c r="K29" s="12"/>
      <c r="L29" s="26"/>
      <c r="M29" s="4">
        <f t="shared" si="3"/>
        <v>0</v>
      </c>
      <c r="N29" s="73"/>
      <c r="O29" s="29"/>
      <c r="P29" s="170"/>
      <c r="Q29" s="174"/>
      <c r="R29" s="170"/>
      <c r="S29" s="4"/>
      <c r="U29" s="107"/>
      <c r="V29" s="107"/>
      <c r="W29" s="107"/>
      <c r="X29" s="107"/>
    </row>
    <row r="30" spans="1:24" hidden="1" x14ac:dyDescent="0.25">
      <c r="A30" s="7">
        <v>28</v>
      </c>
      <c r="B30" s="7"/>
      <c r="C30" s="7"/>
      <c r="D30" s="13"/>
      <c r="E30" s="10"/>
      <c r="F30" s="10"/>
      <c r="G30" s="10"/>
      <c r="H30" s="10"/>
      <c r="I30" s="10"/>
      <c r="J30" s="12"/>
      <c r="K30" s="12"/>
      <c r="L30" s="26"/>
      <c r="M30" s="4">
        <f t="shared" si="3"/>
        <v>0</v>
      </c>
      <c r="N30" s="73"/>
      <c r="O30" s="29"/>
      <c r="P30" s="170"/>
      <c r="Q30" s="174"/>
      <c r="R30" s="170"/>
      <c r="S30" s="4"/>
    </row>
    <row r="31" spans="1:24" hidden="1" x14ac:dyDescent="0.25">
      <c r="A31" s="7">
        <v>29</v>
      </c>
      <c r="B31" s="7"/>
      <c r="C31" s="7"/>
      <c r="D31" s="13"/>
      <c r="E31" s="10"/>
      <c r="F31" s="10"/>
      <c r="G31" s="10"/>
      <c r="H31" s="10"/>
      <c r="I31" s="10"/>
      <c r="J31" s="12"/>
      <c r="K31" s="12"/>
      <c r="L31" s="26"/>
      <c r="M31" s="4">
        <f t="shared" si="3"/>
        <v>0</v>
      </c>
      <c r="N31" s="73"/>
      <c r="O31" s="29"/>
      <c r="P31" s="170"/>
      <c r="Q31" s="174"/>
      <c r="R31" s="170"/>
      <c r="S31" s="4"/>
    </row>
    <row r="32" spans="1:24" hidden="1" x14ac:dyDescent="0.25">
      <c r="A32" s="7">
        <v>30</v>
      </c>
      <c r="B32" s="7"/>
      <c r="C32" s="7"/>
      <c r="D32" s="13"/>
      <c r="E32" s="10"/>
      <c r="F32" s="10"/>
      <c r="G32" s="10"/>
      <c r="H32" s="10"/>
      <c r="I32" s="10"/>
      <c r="J32" s="12"/>
      <c r="K32" s="12"/>
      <c r="L32" s="26"/>
      <c r="M32" s="4">
        <f t="shared" si="3"/>
        <v>0</v>
      </c>
      <c r="N32" s="73"/>
      <c r="O32" s="29"/>
      <c r="P32" s="170"/>
      <c r="Q32" s="174"/>
      <c r="R32" s="170"/>
      <c r="S32" s="4"/>
    </row>
    <row r="33" spans="1:19" hidden="1" x14ac:dyDescent="0.25">
      <c r="A33" s="7">
        <v>31</v>
      </c>
      <c r="B33" s="7"/>
      <c r="C33" s="7"/>
      <c r="D33" s="13"/>
      <c r="E33" s="10"/>
      <c r="F33" s="10"/>
      <c r="G33" s="10"/>
      <c r="H33" s="10"/>
      <c r="I33" s="10"/>
      <c r="J33" s="12"/>
      <c r="K33" s="12"/>
      <c r="L33" s="26"/>
      <c r="M33" s="4">
        <f t="shared" si="3"/>
        <v>0</v>
      </c>
      <c r="N33" s="73"/>
      <c r="O33" s="29"/>
      <c r="P33" s="170"/>
      <c r="Q33" s="174"/>
      <c r="R33" s="170"/>
      <c r="S33" s="4"/>
    </row>
    <row r="34" spans="1:19" hidden="1" x14ac:dyDescent="0.25">
      <c r="A34" s="7">
        <v>32</v>
      </c>
      <c r="B34" s="7"/>
      <c r="C34" s="7"/>
      <c r="D34" s="13"/>
      <c r="E34" s="10"/>
      <c r="F34" s="10"/>
      <c r="G34" s="10"/>
      <c r="H34" s="10"/>
      <c r="I34" s="10"/>
      <c r="J34" s="12"/>
      <c r="K34" s="12"/>
      <c r="L34" s="26"/>
      <c r="M34" s="4">
        <f t="shared" si="3"/>
        <v>0</v>
      </c>
      <c r="N34" s="73"/>
      <c r="O34" s="29"/>
      <c r="P34" s="170"/>
      <c r="Q34" s="174"/>
      <c r="R34" s="170"/>
      <c r="S34" s="4"/>
    </row>
    <row r="35" spans="1:19" hidden="1" x14ac:dyDescent="0.25">
      <c r="A35" s="7">
        <v>33</v>
      </c>
      <c r="B35" s="7"/>
      <c r="C35" s="7"/>
      <c r="D35" s="13"/>
      <c r="E35" s="10"/>
      <c r="F35" s="10"/>
      <c r="G35" s="10"/>
      <c r="H35" s="10"/>
      <c r="I35" s="10"/>
      <c r="J35" s="12"/>
      <c r="K35" s="12"/>
      <c r="L35" s="26"/>
      <c r="M35" s="4">
        <f t="shared" si="3"/>
        <v>0</v>
      </c>
      <c r="N35" s="73"/>
      <c r="O35" s="29"/>
      <c r="P35" s="170"/>
      <c r="Q35" s="174"/>
      <c r="R35" s="170"/>
      <c r="S35" s="4"/>
    </row>
    <row r="36" spans="1:19" hidden="1" x14ac:dyDescent="0.25">
      <c r="A36" s="7">
        <v>34</v>
      </c>
      <c r="B36" s="7"/>
      <c r="C36" s="7"/>
      <c r="D36" s="13"/>
      <c r="E36" s="10"/>
      <c r="F36" s="10"/>
      <c r="G36" s="10"/>
      <c r="H36" s="10"/>
      <c r="I36" s="10"/>
      <c r="J36" s="12"/>
      <c r="K36" s="12"/>
      <c r="L36" s="26"/>
      <c r="M36" s="4">
        <f t="shared" si="3"/>
        <v>0</v>
      </c>
      <c r="N36" s="73"/>
      <c r="O36" s="29"/>
      <c r="P36" s="170"/>
      <c r="Q36" s="174"/>
      <c r="R36" s="170"/>
      <c r="S36" s="4"/>
    </row>
    <row r="37" spans="1:19" hidden="1" x14ac:dyDescent="0.25">
      <c r="A37" s="7">
        <v>35</v>
      </c>
      <c r="B37" s="7"/>
      <c r="C37" s="7"/>
      <c r="D37" s="13"/>
      <c r="E37" s="10"/>
      <c r="F37" s="10"/>
      <c r="G37" s="10"/>
      <c r="H37" s="10"/>
      <c r="I37" s="10"/>
      <c r="J37" s="12"/>
      <c r="K37" s="12"/>
      <c r="L37" s="26"/>
      <c r="M37" s="4">
        <f t="shared" si="3"/>
        <v>0</v>
      </c>
      <c r="N37" s="73"/>
      <c r="O37" s="29"/>
      <c r="P37" s="170"/>
      <c r="Q37" s="174"/>
      <c r="R37" s="170"/>
      <c r="S37" s="4"/>
    </row>
    <row r="38" spans="1:19" hidden="1" x14ac:dyDescent="0.25">
      <c r="A38" s="7">
        <v>36</v>
      </c>
      <c r="B38" s="7"/>
      <c r="C38" s="7"/>
      <c r="D38" s="13"/>
      <c r="E38" s="10"/>
      <c r="F38" s="10"/>
      <c r="G38" s="10"/>
      <c r="H38" s="10"/>
      <c r="I38" s="10"/>
      <c r="J38" s="12"/>
      <c r="K38" s="12"/>
      <c r="L38" s="26"/>
      <c r="M38" s="4">
        <f t="shared" si="3"/>
        <v>0</v>
      </c>
      <c r="N38" s="73"/>
      <c r="O38" s="29"/>
      <c r="P38" s="170"/>
      <c r="Q38" s="174"/>
      <c r="R38" s="170"/>
      <c r="S38" s="4"/>
    </row>
    <row r="39" spans="1:19" hidden="1" x14ac:dyDescent="0.25">
      <c r="A39" s="7">
        <v>37</v>
      </c>
      <c r="B39" s="7"/>
      <c r="C39" s="7"/>
      <c r="D39" s="13"/>
      <c r="E39" s="10"/>
      <c r="F39" s="10"/>
      <c r="G39" s="10"/>
      <c r="H39" s="10"/>
      <c r="I39" s="10"/>
      <c r="J39" s="12"/>
      <c r="K39" s="12"/>
      <c r="L39" s="26"/>
      <c r="M39" s="4">
        <f t="shared" si="3"/>
        <v>0</v>
      </c>
      <c r="N39" s="73"/>
      <c r="O39" s="29"/>
      <c r="P39" s="170"/>
      <c r="Q39" s="174"/>
      <c r="R39" s="170"/>
      <c r="S39" s="4"/>
    </row>
    <row r="40" spans="1:19" hidden="1" x14ac:dyDescent="0.25">
      <c r="A40" s="7">
        <v>38</v>
      </c>
      <c r="B40" s="7"/>
      <c r="C40" s="7"/>
      <c r="D40" s="13"/>
      <c r="E40" s="10"/>
      <c r="F40" s="10"/>
      <c r="G40" s="10"/>
      <c r="H40" s="10"/>
      <c r="I40" s="10"/>
      <c r="J40" s="12"/>
      <c r="K40" s="12"/>
      <c r="L40" s="26"/>
      <c r="M40" s="4">
        <f t="shared" si="3"/>
        <v>0</v>
      </c>
      <c r="N40" s="73"/>
      <c r="O40" s="29"/>
      <c r="P40" s="170"/>
      <c r="Q40" s="174"/>
      <c r="R40" s="170"/>
      <c r="S40" s="4"/>
    </row>
    <row r="41" spans="1:19" hidden="1" x14ac:dyDescent="0.25">
      <c r="A41" s="7">
        <v>39</v>
      </c>
      <c r="B41" s="7"/>
      <c r="C41" s="7"/>
      <c r="D41" s="13"/>
      <c r="E41" s="10"/>
      <c r="F41" s="10"/>
      <c r="G41" s="10"/>
      <c r="H41" s="10"/>
      <c r="I41" s="10"/>
      <c r="J41" s="12"/>
      <c r="K41" s="12"/>
      <c r="L41" s="26"/>
      <c r="M41" s="4">
        <f t="shared" si="3"/>
        <v>0</v>
      </c>
      <c r="N41" s="73"/>
      <c r="O41" s="29"/>
      <c r="P41" s="170"/>
      <c r="Q41" s="174"/>
      <c r="R41" s="170"/>
      <c r="S41" s="4"/>
    </row>
    <row r="42" spans="1:19" hidden="1" x14ac:dyDescent="0.25">
      <c r="A42" s="7">
        <v>40</v>
      </c>
      <c r="B42" s="7"/>
      <c r="C42" s="7"/>
      <c r="D42" s="13"/>
      <c r="E42" s="10"/>
      <c r="F42" s="10"/>
      <c r="G42" s="10"/>
      <c r="H42" s="10"/>
      <c r="I42" s="10"/>
      <c r="J42" s="12"/>
      <c r="K42" s="12"/>
      <c r="L42" s="26"/>
      <c r="M42" s="4">
        <f t="shared" si="3"/>
        <v>0</v>
      </c>
      <c r="N42" s="73"/>
      <c r="O42" s="29"/>
      <c r="P42" s="170"/>
      <c r="Q42" s="174"/>
      <c r="R42" s="170"/>
      <c r="S42" s="4"/>
    </row>
    <row r="43" spans="1:19" hidden="1" x14ac:dyDescent="0.25">
      <c r="A43" s="7">
        <v>41</v>
      </c>
      <c r="B43" s="7"/>
      <c r="C43" s="7"/>
      <c r="D43" s="13"/>
      <c r="E43" s="10"/>
      <c r="F43" s="10"/>
      <c r="G43" s="10"/>
      <c r="H43" s="10"/>
      <c r="I43" s="10"/>
      <c r="J43" s="12"/>
      <c r="K43" s="12"/>
      <c r="L43" s="26"/>
      <c r="M43" s="4">
        <f t="shared" si="3"/>
        <v>0</v>
      </c>
      <c r="N43" s="73"/>
      <c r="O43" s="29"/>
      <c r="P43" s="170"/>
      <c r="Q43" s="174"/>
      <c r="R43" s="170"/>
      <c r="S43" s="4"/>
    </row>
    <row r="44" spans="1:19" hidden="1" x14ac:dyDescent="0.25">
      <c r="A44" s="7">
        <v>42</v>
      </c>
      <c r="B44" s="7"/>
      <c r="C44" s="7"/>
      <c r="D44" s="13"/>
      <c r="E44" s="10"/>
      <c r="F44" s="10"/>
      <c r="G44" s="10"/>
      <c r="H44" s="10"/>
      <c r="I44" s="10"/>
      <c r="J44" s="12"/>
      <c r="K44" s="12"/>
      <c r="L44" s="26"/>
      <c r="M44" s="4">
        <f t="shared" si="3"/>
        <v>0</v>
      </c>
      <c r="N44" s="73"/>
      <c r="O44" s="29"/>
      <c r="P44" s="170"/>
      <c r="Q44" s="174"/>
      <c r="R44" s="170"/>
      <c r="S44" s="4"/>
    </row>
    <row r="45" spans="1:19" hidden="1" x14ac:dyDescent="0.25">
      <c r="A45" s="7">
        <v>43</v>
      </c>
      <c r="B45" s="7"/>
      <c r="C45" s="7"/>
      <c r="D45" s="13"/>
      <c r="E45" s="10"/>
      <c r="F45" s="10"/>
      <c r="G45" s="10"/>
      <c r="H45" s="10"/>
      <c r="I45" s="10"/>
      <c r="J45" s="12"/>
      <c r="K45" s="12"/>
      <c r="L45" s="26"/>
      <c r="M45" s="4">
        <f t="shared" si="3"/>
        <v>0</v>
      </c>
      <c r="N45" s="73"/>
      <c r="O45" s="29"/>
      <c r="P45" s="170"/>
      <c r="Q45" s="174"/>
      <c r="R45" s="170"/>
      <c r="S45" s="4"/>
    </row>
    <row r="46" spans="1:19" hidden="1" x14ac:dyDescent="0.25">
      <c r="A46" s="7">
        <v>44</v>
      </c>
      <c r="B46" s="7"/>
      <c r="C46" s="7"/>
      <c r="D46" s="13"/>
      <c r="E46" s="10"/>
      <c r="F46" s="10"/>
      <c r="G46" s="10"/>
      <c r="H46" s="10"/>
      <c r="I46" s="10"/>
      <c r="J46" s="12"/>
      <c r="K46" s="12"/>
      <c r="L46" s="26"/>
      <c r="M46" s="4">
        <f t="shared" si="3"/>
        <v>0</v>
      </c>
      <c r="N46" s="73"/>
      <c r="O46" s="29"/>
      <c r="P46" s="170"/>
      <c r="Q46" s="174"/>
      <c r="R46" s="170"/>
      <c r="S46" s="4"/>
    </row>
    <row r="47" spans="1:19" hidden="1" x14ac:dyDescent="0.25">
      <c r="A47" s="7">
        <v>45</v>
      </c>
      <c r="B47" s="7"/>
      <c r="C47" s="7"/>
      <c r="D47" s="13"/>
      <c r="E47" s="10"/>
      <c r="F47" s="10"/>
      <c r="G47" s="10"/>
      <c r="H47" s="10"/>
      <c r="I47" s="10"/>
      <c r="J47" s="12"/>
      <c r="K47" s="12"/>
      <c r="L47" s="26"/>
      <c r="M47" s="4">
        <f t="shared" si="3"/>
        <v>0</v>
      </c>
      <c r="N47" s="73"/>
      <c r="O47" s="29"/>
      <c r="P47" s="170"/>
      <c r="Q47" s="174"/>
      <c r="R47" s="170"/>
      <c r="S47" s="4"/>
    </row>
    <row r="48" spans="1:19" hidden="1" x14ac:dyDescent="0.25">
      <c r="A48" s="7">
        <v>46</v>
      </c>
      <c r="B48" s="7"/>
      <c r="C48" s="7"/>
      <c r="D48" s="13"/>
      <c r="E48" s="10"/>
      <c r="F48" s="10"/>
      <c r="G48" s="10"/>
      <c r="H48" s="10"/>
      <c r="I48" s="10"/>
      <c r="J48" s="12"/>
      <c r="K48" s="12"/>
      <c r="L48" s="26"/>
      <c r="M48" s="4">
        <f t="shared" si="3"/>
        <v>0</v>
      </c>
      <c r="N48" s="73"/>
      <c r="O48" s="29"/>
      <c r="P48" s="170"/>
      <c r="Q48" s="174"/>
      <c r="R48" s="170"/>
      <c r="S48" s="4"/>
    </row>
    <row r="49" spans="1:19" hidden="1" x14ac:dyDescent="0.25">
      <c r="A49" s="7">
        <v>47</v>
      </c>
      <c r="B49" s="7"/>
      <c r="C49" s="7"/>
      <c r="D49" s="13"/>
      <c r="E49" s="10"/>
      <c r="F49" s="10"/>
      <c r="G49" s="10"/>
      <c r="H49" s="10"/>
      <c r="I49" s="10"/>
      <c r="J49" s="12"/>
      <c r="K49" s="12"/>
      <c r="L49" s="26"/>
      <c r="M49" s="4">
        <f t="shared" si="3"/>
        <v>0</v>
      </c>
      <c r="N49" s="73"/>
      <c r="O49" s="29"/>
      <c r="P49" s="170"/>
      <c r="Q49" s="174"/>
      <c r="R49" s="170"/>
      <c r="S49" s="4"/>
    </row>
    <row r="50" spans="1:19" hidden="1" x14ac:dyDescent="0.25">
      <c r="A50" s="7">
        <v>48</v>
      </c>
      <c r="B50" s="7"/>
      <c r="C50" s="7"/>
      <c r="D50" s="13"/>
      <c r="E50" s="10"/>
      <c r="F50" s="10"/>
      <c r="G50" s="10"/>
      <c r="H50" s="10"/>
      <c r="I50" s="10"/>
      <c r="J50" s="12"/>
      <c r="K50" s="12"/>
      <c r="L50" s="26"/>
      <c r="M50" s="4">
        <f t="shared" si="3"/>
        <v>0</v>
      </c>
      <c r="N50" s="73"/>
      <c r="O50" s="29"/>
      <c r="P50" s="170"/>
      <c r="Q50" s="174"/>
      <c r="R50" s="170"/>
      <c r="S50" s="4"/>
    </row>
    <row r="51" spans="1:19" hidden="1" x14ac:dyDescent="0.25">
      <c r="A51" s="7">
        <v>49</v>
      </c>
      <c r="B51" s="7"/>
      <c r="C51" s="7"/>
      <c r="D51" s="13"/>
      <c r="E51" s="10"/>
      <c r="F51" s="10"/>
      <c r="G51" s="10"/>
      <c r="H51" s="10"/>
      <c r="I51" s="10"/>
      <c r="J51" s="12"/>
      <c r="K51" s="12"/>
      <c r="L51" s="26"/>
      <c r="M51" s="4">
        <f t="shared" si="3"/>
        <v>0</v>
      </c>
      <c r="N51" s="73"/>
      <c r="O51" s="29"/>
      <c r="P51" s="170"/>
      <c r="Q51" s="174"/>
      <c r="R51" s="170"/>
      <c r="S51" s="4"/>
    </row>
    <row r="52" spans="1:19" hidden="1" x14ac:dyDescent="0.25">
      <c r="A52" s="7">
        <v>50</v>
      </c>
      <c r="B52" s="7"/>
      <c r="C52" s="7"/>
      <c r="D52" s="13"/>
      <c r="E52" s="10"/>
      <c r="F52" s="10"/>
      <c r="G52" s="10"/>
      <c r="H52" s="10"/>
      <c r="I52" s="10"/>
      <c r="J52" s="12"/>
      <c r="K52" s="12"/>
      <c r="L52" s="26"/>
      <c r="M52" s="4">
        <f t="shared" si="3"/>
        <v>0</v>
      </c>
      <c r="N52" s="73"/>
      <c r="O52" s="29"/>
      <c r="P52" s="170"/>
      <c r="Q52" s="174"/>
      <c r="R52" s="170"/>
      <c r="S52" s="4"/>
    </row>
    <row r="53" spans="1:19" hidden="1" x14ac:dyDescent="0.25">
      <c r="A53" s="7">
        <v>51</v>
      </c>
      <c r="B53" s="7"/>
      <c r="C53" s="7"/>
      <c r="D53" s="13"/>
      <c r="E53" s="10"/>
      <c r="F53" s="10"/>
      <c r="G53" s="10"/>
      <c r="H53" s="10"/>
      <c r="I53" s="10"/>
      <c r="J53" s="12"/>
      <c r="K53" s="12"/>
      <c r="L53" s="26"/>
      <c r="M53" s="4">
        <f t="shared" si="3"/>
        <v>0</v>
      </c>
      <c r="N53" s="73"/>
      <c r="O53" s="29"/>
      <c r="P53" s="170"/>
      <c r="Q53" s="174"/>
      <c r="R53" s="170"/>
      <c r="S53" s="4"/>
    </row>
    <row r="54" spans="1:19" hidden="1" x14ac:dyDescent="0.25">
      <c r="A54" s="7">
        <v>52</v>
      </c>
      <c r="B54" s="7"/>
      <c r="C54" s="7"/>
      <c r="D54" s="13"/>
      <c r="E54" s="10"/>
      <c r="F54" s="10"/>
      <c r="G54" s="10"/>
      <c r="H54" s="10"/>
      <c r="I54" s="10"/>
      <c r="J54" s="12"/>
      <c r="K54" s="12"/>
      <c r="L54" s="26"/>
      <c r="M54" s="4">
        <f t="shared" si="3"/>
        <v>0</v>
      </c>
      <c r="N54" s="73"/>
      <c r="O54" s="29"/>
      <c r="P54" s="170"/>
      <c r="Q54" s="174"/>
      <c r="R54" s="170"/>
      <c r="S54" s="4"/>
    </row>
    <row r="55" spans="1:19" hidden="1" x14ac:dyDescent="0.25">
      <c r="A55" s="7">
        <v>53</v>
      </c>
      <c r="B55" s="7"/>
      <c r="C55" s="7"/>
      <c r="D55" s="13"/>
      <c r="E55" s="10"/>
      <c r="F55" s="10"/>
      <c r="G55" s="10"/>
      <c r="H55" s="10"/>
      <c r="I55" s="10"/>
      <c r="J55" s="12"/>
      <c r="K55" s="12"/>
      <c r="L55" s="26"/>
      <c r="M55" s="4">
        <f t="shared" si="3"/>
        <v>0</v>
      </c>
      <c r="N55" s="73"/>
      <c r="O55" s="29"/>
      <c r="P55" s="170"/>
      <c r="Q55" s="174"/>
      <c r="R55" s="170"/>
      <c r="S55" s="4"/>
    </row>
    <row r="56" spans="1:19" hidden="1" x14ac:dyDescent="0.25">
      <c r="A56" s="7">
        <v>54</v>
      </c>
      <c r="B56" s="7"/>
      <c r="C56" s="7"/>
      <c r="D56" s="13"/>
      <c r="E56" s="10"/>
      <c r="F56" s="10"/>
      <c r="G56" s="10"/>
      <c r="H56" s="10"/>
      <c r="I56" s="10"/>
      <c r="J56" s="12"/>
      <c r="K56" s="12"/>
      <c r="L56" s="26"/>
      <c r="M56" s="4">
        <f t="shared" si="3"/>
        <v>0</v>
      </c>
      <c r="N56" s="73"/>
      <c r="O56" s="29"/>
      <c r="P56" s="170"/>
      <c r="Q56" s="174"/>
      <c r="R56" s="170"/>
      <c r="S56" s="4"/>
    </row>
    <row r="57" spans="1:19" hidden="1" x14ac:dyDescent="0.25">
      <c r="A57" s="7">
        <v>55</v>
      </c>
      <c r="B57" s="7"/>
      <c r="C57" s="7"/>
      <c r="D57" s="13"/>
      <c r="E57" s="10"/>
      <c r="F57" s="10"/>
      <c r="G57" s="10"/>
      <c r="H57" s="10"/>
      <c r="I57" s="10"/>
      <c r="J57" s="12"/>
      <c r="K57" s="12"/>
      <c r="L57" s="26"/>
      <c r="M57" s="4">
        <f t="shared" si="3"/>
        <v>0</v>
      </c>
      <c r="N57" s="73"/>
      <c r="O57" s="29"/>
      <c r="P57" s="170"/>
      <c r="Q57" s="174"/>
      <c r="R57" s="170"/>
      <c r="S57" s="4"/>
    </row>
    <row r="58" spans="1:19" hidden="1" x14ac:dyDescent="0.25">
      <c r="A58" s="7">
        <v>56</v>
      </c>
      <c r="B58" s="7"/>
      <c r="C58" s="7"/>
      <c r="D58" s="13"/>
      <c r="E58" s="10"/>
      <c r="F58" s="10"/>
      <c r="G58" s="10"/>
      <c r="H58" s="10"/>
      <c r="I58" s="10"/>
      <c r="J58" s="12"/>
      <c r="K58" s="12"/>
      <c r="L58" s="26"/>
      <c r="M58" s="4">
        <f t="shared" si="3"/>
        <v>0</v>
      </c>
      <c r="N58" s="73"/>
      <c r="O58" s="29"/>
      <c r="P58" s="170"/>
      <c r="Q58" s="174"/>
      <c r="R58" s="170"/>
      <c r="S58" s="4"/>
    </row>
    <row r="59" spans="1:19" hidden="1" x14ac:dyDescent="0.25">
      <c r="A59" s="7">
        <v>57</v>
      </c>
      <c r="B59" s="7"/>
      <c r="C59" s="7"/>
      <c r="D59" s="13"/>
      <c r="E59" s="10"/>
      <c r="F59" s="10"/>
      <c r="G59" s="10"/>
      <c r="H59" s="10"/>
      <c r="I59" s="10"/>
      <c r="J59" s="12"/>
      <c r="K59" s="12"/>
      <c r="L59" s="26"/>
      <c r="M59" s="4">
        <f t="shared" si="3"/>
        <v>0</v>
      </c>
      <c r="N59" s="73"/>
      <c r="O59" s="29"/>
      <c r="P59" s="170"/>
      <c r="Q59" s="174"/>
      <c r="R59" s="170"/>
      <c r="S59" s="4"/>
    </row>
    <row r="60" spans="1:19" hidden="1" x14ac:dyDescent="0.25">
      <c r="A60" s="7">
        <v>58</v>
      </c>
      <c r="B60" s="7"/>
      <c r="C60" s="7"/>
      <c r="D60" s="13"/>
      <c r="E60" s="10"/>
      <c r="F60" s="10"/>
      <c r="G60" s="10"/>
      <c r="H60" s="10"/>
      <c r="I60" s="10"/>
      <c r="J60" s="12"/>
      <c r="K60" s="12"/>
      <c r="L60" s="26"/>
      <c r="M60" s="4">
        <f t="shared" si="3"/>
        <v>0</v>
      </c>
      <c r="N60" s="73"/>
      <c r="O60" s="29"/>
      <c r="P60" s="170"/>
      <c r="Q60" s="174"/>
      <c r="R60" s="170"/>
      <c r="S60" s="4"/>
    </row>
    <row r="61" spans="1:19" hidden="1" x14ac:dyDescent="0.25">
      <c r="A61" s="7">
        <v>59</v>
      </c>
      <c r="B61" s="7"/>
      <c r="C61" s="7"/>
      <c r="D61" s="13"/>
      <c r="E61" s="10"/>
      <c r="F61" s="10"/>
      <c r="G61" s="10"/>
      <c r="H61" s="10"/>
      <c r="I61" s="10"/>
      <c r="J61" s="12"/>
      <c r="K61" s="12"/>
      <c r="L61" s="26"/>
      <c r="M61" s="4">
        <f t="shared" si="3"/>
        <v>0</v>
      </c>
      <c r="N61" s="73"/>
      <c r="O61" s="29"/>
      <c r="P61" s="170"/>
      <c r="Q61" s="174"/>
      <c r="R61" s="170"/>
      <c r="S61" s="4"/>
    </row>
    <row r="62" spans="1:19" hidden="1" x14ac:dyDescent="0.25">
      <c r="A62" s="7">
        <v>60</v>
      </c>
      <c r="B62" s="7"/>
      <c r="C62" s="7"/>
      <c r="D62" s="13"/>
      <c r="E62" s="10"/>
      <c r="F62" s="10"/>
      <c r="G62" s="10"/>
      <c r="H62" s="10"/>
      <c r="I62" s="10"/>
      <c r="J62" s="12"/>
      <c r="K62" s="12"/>
      <c r="L62" s="26"/>
      <c r="M62" s="4">
        <f t="shared" si="3"/>
        <v>0</v>
      </c>
      <c r="N62" s="73"/>
      <c r="O62" s="29"/>
      <c r="P62" s="170"/>
      <c r="Q62" s="174"/>
      <c r="R62" s="170"/>
      <c r="S62" s="4"/>
    </row>
    <row r="63" spans="1:19" hidden="1" x14ac:dyDescent="0.25">
      <c r="A63" s="7">
        <v>61</v>
      </c>
      <c r="B63" s="7"/>
      <c r="C63" s="7"/>
      <c r="D63" s="13"/>
      <c r="E63" s="10"/>
      <c r="F63" s="10"/>
      <c r="G63" s="10"/>
      <c r="H63" s="10"/>
      <c r="I63" s="10"/>
      <c r="J63" s="12"/>
      <c r="K63" s="12"/>
      <c r="L63" s="26"/>
      <c r="M63" s="4">
        <f t="shared" ref="M63" si="4">+G63+J63+K63+L63</f>
        <v>0</v>
      </c>
      <c r="N63" s="73"/>
      <c r="O63" s="29"/>
      <c r="P63" s="170"/>
      <c r="Q63" s="174"/>
      <c r="R63" s="170"/>
      <c r="S63" s="4"/>
    </row>
    <row r="64" spans="1:19" ht="27.75" customHeight="1" x14ac:dyDescent="0.25">
      <c r="D64" s="184" t="s">
        <v>12</v>
      </c>
      <c r="E64" s="185">
        <f>SUM(E3:E63)</f>
        <v>989768.89999999991</v>
      </c>
      <c r="F64" s="23"/>
      <c r="G64" s="23"/>
      <c r="H64" s="185">
        <v>7000</v>
      </c>
      <c r="I64" s="185">
        <f>SUM(I3:I63)</f>
        <v>9.5251054565246971</v>
      </c>
      <c r="J64" s="185">
        <f>SUM(J3:J63)</f>
        <v>591</v>
      </c>
      <c r="K64" s="185">
        <f>SUM(K3:K63)</f>
        <v>271</v>
      </c>
      <c r="L64" s="185">
        <f>SUM(L3:L63)</f>
        <v>5143.5</v>
      </c>
      <c r="M64" s="186">
        <f>SUM(M3:M63)</f>
        <v>7453.6916689807103</v>
      </c>
      <c r="N64" s="50"/>
      <c r="O64" s="181">
        <f>SUM(O3:O63)</f>
        <v>2310.1916689807108</v>
      </c>
      <c r="P64" s="36"/>
      <c r="Q64" s="181">
        <f>SUM(Q3:Q18)</f>
        <v>243107.86000000004</v>
      </c>
      <c r="R64" s="36"/>
      <c r="S64" s="181">
        <f>SUM(S3:S18)</f>
        <v>1168</v>
      </c>
    </row>
    <row r="65" spans="5:18" x14ac:dyDescent="0.25">
      <c r="E65" s="36"/>
      <c r="J65" s="194"/>
      <c r="K65" s="194"/>
      <c r="O65" s="36"/>
      <c r="P65" s="36"/>
      <c r="Q65" s="36"/>
      <c r="R65" s="36"/>
    </row>
    <row r="66" spans="5:18" x14ac:dyDescent="0.25">
      <c r="J66" s="36"/>
      <c r="M66" s="36"/>
    </row>
    <row r="68" spans="5:18" x14ac:dyDescent="0.25">
      <c r="M68" s="36"/>
    </row>
  </sheetData>
  <mergeCells count="8">
    <mergeCell ref="A1:J1"/>
    <mergeCell ref="V6:W6"/>
    <mergeCell ref="V7:W7"/>
    <mergeCell ref="V5:W5"/>
    <mergeCell ref="J65:K65"/>
    <mergeCell ref="V18:W18"/>
    <mergeCell ref="V19:W19"/>
    <mergeCell ref="V20:W20"/>
  </mergeCells>
  <pageMargins left="0.7" right="0.7" top="0.75" bottom="0.75" header="0.3" footer="0.3"/>
  <pageSetup paperSize="9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7EA2-6841-481D-B611-25BCA50DF5BC}">
  <dimension ref="A1:S50"/>
  <sheetViews>
    <sheetView topLeftCell="D1" zoomScale="80" zoomScaleNormal="80" workbookViewId="0">
      <pane ySplit="1" topLeftCell="A11" activePane="bottomLeft" state="frozen"/>
      <selection activeCell="B3" sqref="B3:F3"/>
      <selection pane="bottomLeft" activeCell="J41" sqref="J41"/>
    </sheetView>
  </sheetViews>
  <sheetFormatPr baseColWidth="10" defaultRowHeight="15" x14ac:dyDescent="0.25"/>
  <cols>
    <col min="1" max="1" width="5.5703125" customWidth="1"/>
    <col min="2" max="2" width="12" customWidth="1"/>
    <col min="4" max="4" width="16" customWidth="1"/>
    <col min="5" max="5" width="15.7109375" customWidth="1"/>
    <col min="6" max="6" width="15.140625" customWidth="1"/>
    <col min="7" max="7" width="14.7109375" customWidth="1"/>
    <col min="8" max="15" width="14.85546875" customWidth="1"/>
    <col min="16" max="16" width="15.28515625" customWidth="1"/>
    <col min="17" max="17" width="13" customWidth="1"/>
  </cols>
  <sheetData>
    <row r="1" spans="1:18" x14ac:dyDescent="0.25">
      <c r="A1" s="2" t="s">
        <v>2</v>
      </c>
      <c r="B1" s="48" t="s">
        <v>43</v>
      </c>
      <c r="C1" s="2" t="s">
        <v>1</v>
      </c>
      <c r="D1" s="2" t="s">
        <v>32</v>
      </c>
      <c r="E1" s="2" t="s">
        <v>31</v>
      </c>
      <c r="F1" s="28" t="s">
        <v>36</v>
      </c>
      <c r="G1" s="28" t="s">
        <v>37</v>
      </c>
      <c r="H1" s="28" t="s">
        <v>40</v>
      </c>
      <c r="I1" s="28" t="s">
        <v>109</v>
      </c>
      <c r="J1" s="28" t="s">
        <v>111</v>
      </c>
      <c r="K1" s="28" t="s">
        <v>139</v>
      </c>
      <c r="L1" s="28" t="s">
        <v>138</v>
      </c>
      <c r="M1" s="28" t="s">
        <v>160</v>
      </c>
      <c r="N1" s="28" t="s">
        <v>33</v>
      </c>
      <c r="O1" s="28" t="s">
        <v>34</v>
      </c>
      <c r="P1" s="28" t="s">
        <v>35</v>
      </c>
      <c r="Q1" s="5" t="s">
        <v>0</v>
      </c>
    </row>
    <row r="2" spans="1:18" x14ac:dyDescent="0.25">
      <c r="A2" s="92">
        <v>1</v>
      </c>
      <c r="B2" s="92">
        <v>376</v>
      </c>
      <c r="C2" s="108">
        <v>46149</v>
      </c>
      <c r="D2" s="146"/>
      <c r="E2" s="146"/>
      <c r="F2" s="147">
        <v>522</v>
      </c>
      <c r="G2" s="146"/>
      <c r="H2" s="146"/>
      <c r="I2" s="146"/>
      <c r="J2" s="146"/>
      <c r="K2" s="146"/>
      <c r="L2" s="146"/>
      <c r="M2" s="146"/>
      <c r="N2" s="146"/>
      <c r="O2" s="146"/>
      <c r="P2" s="105"/>
      <c r="Q2" s="111">
        <f t="shared" ref="Q2:Q31" si="0">SUM(D2:P2)</f>
        <v>522</v>
      </c>
      <c r="R2" s="200">
        <f>+Q2+Q3+Q4</f>
        <v>803.12</v>
      </c>
    </row>
    <row r="3" spans="1:18" x14ac:dyDescent="0.25">
      <c r="A3" s="92">
        <v>2</v>
      </c>
      <c r="B3" s="92">
        <v>377</v>
      </c>
      <c r="C3" s="108">
        <v>46149</v>
      </c>
      <c r="D3" s="146"/>
      <c r="E3" s="146"/>
      <c r="F3" s="150">
        <v>174</v>
      </c>
      <c r="G3" s="146"/>
      <c r="H3" s="146"/>
      <c r="I3" s="146"/>
      <c r="J3" s="146"/>
      <c r="K3" s="146"/>
      <c r="L3" s="146"/>
      <c r="M3" s="146"/>
      <c r="N3" s="146"/>
      <c r="O3" s="146"/>
      <c r="P3" s="105"/>
      <c r="Q3" s="111">
        <f t="shared" si="0"/>
        <v>174</v>
      </c>
      <c r="R3" s="201"/>
    </row>
    <row r="4" spans="1:18" x14ac:dyDescent="0.25">
      <c r="A4" s="92">
        <v>3</v>
      </c>
      <c r="B4" s="92">
        <v>378</v>
      </c>
      <c r="C4" s="108">
        <v>46149</v>
      </c>
      <c r="D4" s="146"/>
      <c r="E4" s="146"/>
      <c r="F4" s="150"/>
      <c r="G4" s="146"/>
      <c r="H4" s="146"/>
      <c r="I4" s="150">
        <v>107.12</v>
      </c>
      <c r="J4" s="146"/>
      <c r="K4" s="146"/>
      <c r="L4" s="150"/>
      <c r="M4" s="150"/>
      <c r="N4" s="150"/>
      <c r="O4" s="150"/>
      <c r="P4" s="111"/>
      <c r="Q4" s="111">
        <f t="shared" si="0"/>
        <v>107.12</v>
      </c>
      <c r="R4" s="201"/>
    </row>
    <row r="5" spans="1:18" x14ac:dyDescent="0.25">
      <c r="A5" s="99">
        <v>4</v>
      </c>
      <c r="B5" s="99">
        <v>387</v>
      </c>
      <c r="C5" s="137">
        <v>46150</v>
      </c>
      <c r="D5" s="138"/>
      <c r="E5" s="139"/>
      <c r="F5" s="140"/>
      <c r="G5" s="139"/>
      <c r="H5" s="139"/>
      <c r="I5" s="139"/>
      <c r="J5" s="139"/>
      <c r="K5" s="139"/>
      <c r="L5" s="139">
        <v>26</v>
      </c>
      <c r="M5" s="139"/>
      <c r="N5" s="139"/>
      <c r="O5" s="139"/>
      <c r="P5" s="142"/>
      <c r="Q5" s="142">
        <f t="shared" si="0"/>
        <v>26</v>
      </c>
      <c r="R5" s="143">
        <f>+Q5</f>
        <v>26</v>
      </c>
    </row>
    <row r="6" spans="1:18" x14ac:dyDescent="0.25">
      <c r="A6" s="114">
        <v>5</v>
      </c>
      <c r="B6" s="114">
        <v>391</v>
      </c>
      <c r="C6" s="108">
        <v>46153</v>
      </c>
      <c r="D6" s="150"/>
      <c r="E6" s="110"/>
      <c r="F6" s="147"/>
      <c r="G6" s="110"/>
      <c r="H6" s="110"/>
      <c r="I6" s="110"/>
      <c r="J6" s="110"/>
      <c r="K6" s="110"/>
      <c r="L6" s="147">
        <v>184</v>
      </c>
      <c r="M6" s="147"/>
      <c r="N6" s="147"/>
      <c r="O6" s="147"/>
      <c r="P6" s="111"/>
      <c r="Q6" s="111">
        <f t="shared" si="0"/>
        <v>184</v>
      </c>
      <c r="R6" s="148">
        <f>+Q6</f>
        <v>184</v>
      </c>
    </row>
    <row r="7" spans="1:18" x14ac:dyDescent="0.25">
      <c r="A7" s="115">
        <v>6</v>
      </c>
      <c r="B7" s="115">
        <v>397</v>
      </c>
      <c r="C7" s="137">
        <v>46155</v>
      </c>
      <c r="D7" s="151"/>
      <c r="E7" s="145"/>
      <c r="F7" s="139">
        <v>348</v>
      </c>
      <c r="G7" s="145"/>
      <c r="H7" s="145"/>
      <c r="I7" s="145"/>
      <c r="J7" s="145"/>
      <c r="K7" s="145"/>
      <c r="L7" s="139"/>
      <c r="M7" s="139"/>
      <c r="N7" s="139"/>
      <c r="O7" s="139"/>
      <c r="P7" s="142"/>
      <c r="Q7" s="142">
        <f t="shared" si="0"/>
        <v>348</v>
      </c>
      <c r="R7" s="202">
        <v>829.5</v>
      </c>
    </row>
    <row r="8" spans="1:18" x14ac:dyDescent="0.25">
      <c r="A8" s="115">
        <v>7</v>
      </c>
      <c r="B8" s="115">
        <v>402</v>
      </c>
      <c r="C8" s="137">
        <v>46155</v>
      </c>
      <c r="D8" s="151">
        <v>481.5</v>
      </c>
      <c r="E8" s="145"/>
      <c r="F8" s="139"/>
      <c r="G8" s="145"/>
      <c r="H8" s="145"/>
      <c r="I8" s="145"/>
      <c r="J8" s="145"/>
      <c r="K8" s="145"/>
      <c r="L8" s="139"/>
      <c r="M8" s="139"/>
      <c r="N8" s="139"/>
      <c r="O8" s="139"/>
      <c r="P8" s="142"/>
      <c r="Q8" s="142">
        <f t="shared" si="0"/>
        <v>481.5</v>
      </c>
      <c r="R8" s="202"/>
    </row>
    <row r="9" spans="1:18" x14ac:dyDescent="0.25">
      <c r="A9" s="122">
        <v>8</v>
      </c>
      <c r="B9" s="123">
        <v>412</v>
      </c>
      <c r="C9" s="149">
        <v>46160</v>
      </c>
      <c r="D9" s="150"/>
      <c r="E9" s="146"/>
      <c r="F9" s="150">
        <v>127</v>
      </c>
      <c r="G9" s="146"/>
      <c r="H9" s="146"/>
      <c r="I9" s="146"/>
      <c r="J9" s="146"/>
      <c r="K9" s="146"/>
      <c r="L9" s="147"/>
      <c r="M9" s="150"/>
      <c r="N9" s="150"/>
      <c r="O9" s="150"/>
      <c r="P9" s="111"/>
      <c r="Q9" s="111">
        <f t="shared" si="0"/>
        <v>127</v>
      </c>
      <c r="R9" s="203">
        <f>+Q9+Q10+Q11</f>
        <v>233</v>
      </c>
    </row>
    <row r="10" spans="1:18" x14ac:dyDescent="0.25">
      <c r="A10" s="122">
        <v>9</v>
      </c>
      <c r="B10" s="122">
        <v>413</v>
      </c>
      <c r="C10" s="149">
        <v>46160</v>
      </c>
      <c r="D10" s="150"/>
      <c r="E10" s="146"/>
      <c r="F10" s="150">
        <v>92</v>
      </c>
      <c r="G10" s="146"/>
      <c r="H10" s="146"/>
      <c r="I10" s="146"/>
      <c r="J10" s="146"/>
      <c r="K10" s="146"/>
      <c r="L10" s="147"/>
      <c r="M10" s="150"/>
      <c r="N10" s="150"/>
      <c r="O10" s="150"/>
      <c r="P10" s="111"/>
      <c r="Q10" s="111">
        <f t="shared" si="0"/>
        <v>92</v>
      </c>
      <c r="R10" s="203"/>
    </row>
    <row r="11" spans="1:18" x14ac:dyDescent="0.25">
      <c r="A11" s="124">
        <v>10</v>
      </c>
      <c r="B11" s="124">
        <v>412</v>
      </c>
      <c r="C11" s="108">
        <v>46160</v>
      </c>
      <c r="D11" s="109"/>
      <c r="E11" s="110"/>
      <c r="F11" s="147"/>
      <c r="G11" s="110"/>
      <c r="H11" s="110"/>
      <c r="I11" s="110"/>
      <c r="J11" s="110"/>
      <c r="K11" s="110"/>
      <c r="L11" s="147">
        <v>14</v>
      </c>
      <c r="M11" s="147"/>
      <c r="N11" s="147"/>
      <c r="O11" s="147"/>
      <c r="P11" s="111"/>
      <c r="Q11" s="111">
        <f t="shared" si="0"/>
        <v>14</v>
      </c>
      <c r="R11" s="203"/>
    </row>
    <row r="12" spans="1:18" x14ac:dyDescent="0.25">
      <c r="A12" s="153">
        <v>11</v>
      </c>
      <c r="B12" s="153">
        <v>430</v>
      </c>
      <c r="C12" s="137">
        <v>46162</v>
      </c>
      <c r="D12" s="144"/>
      <c r="E12" s="145"/>
      <c r="F12" s="139">
        <v>174</v>
      </c>
      <c r="G12" s="145"/>
      <c r="H12" s="145"/>
      <c r="I12" s="145"/>
      <c r="J12" s="145"/>
      <c r="K12" s="145"/>
      <c r="L12" s="139"/>
      <c r="M12" s="139"/>
      <c r="N12" s="139"/>
      <c r="O12" s="139"/>
      <c r="P12" s="142"/>
      <c r="Q12" s="142">
        <f t="shared" si="0"/>
        <v>174</v>
      </c>
      <c r="R12" s="202">
        <f>+Q12+Q13</f>
        <v>516</v>
      </c>
    </row>
    <row r="13" spans="1:18" x14ac:dyDescent="0.25">
      <c r="A13" s="153">
        <v>12</v>
      </c>
      <c r="B13" s="153">
        <v>432</v>
      </c>
      <c r="C13" s="137">
        <v>46162</v>
      </c>
      <c r="D13" s="144"/>
      <c r="E13" s="145"/>
      <c r="F13" s="139">
        <v>342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1"/>
      <c r="Q13" s="142">
        <f t="shared" si="0"/>
        <v>342</v>
      </c>
      <c r="R13" s="202"/>
    </row>
    <row r="14" spans="1:18" x14ac:dyDescent="0.25">
      <c r="A14" s="115">
        <v>13</v>
      </c>
      <c r="B14" s="115">
        <v>440</v>
      </c>
      <c r="C14" s="108">
        <v>46164</v>
      </c>
      <c r="D14" s="109"/>
      <c r="E14" s="110"/>
      <c r="F14" s="110"/>
      <c r="G14" s="110"/>
      <c r="H14" s="110"/>
      <c r="I14" s="110"/>
      <c r="J14" s="110"/>
      <c r="K14" s="110"/>
      <c r="L14" s="147">
        <v>81</v>
      </c>
      <c r="M14" s="110"/>
      <c r="N14" s="110"/>
      <c r="O14" s="110"/>
      <c r="P14" s="105"/>
      <c r="Q14" s="111">
        <f t="shared" si="0"/>
        <v>81</v>
      </c>
      <c r="R14" s="203">
        <f>+Q14+Q15</f>
        <v>341</v>
      </c>
    </row>
    <row r="15" spans="1:18" x14ac:dyDescent="0.25">
      <c r="A15" s="115">
        <v>14</v>
      </c>
      <c r="B15" s="115">
        <v>443</v>
      </c>
      <c r="C15" s="108">
        <v>46164</v>
      </c>
      <c r="D15" s="109"/>
      <c r="E15" s="110"/>
      <c r="F15" s="110"/>
      <c r="G15" s="110"/>
      <c r="H15" s="110"/>
      <c r="I15" s="110"/>
      <c r="J15" s="110"/>
      <c r="K15" s="110"/>
      <c r="L15" s="110"/>
      <c r="M15" s="147">
        <v>260</v>
      </c>
      <c r="N15" s="110"/>
      <c r="O15" s="110"/>
      <c r="P15" s="105"/>
      <c r="Q15" s="111">
        <f t="shared" si="0"/>
        <v>260</v>
      </c>
      <c r="R15" s="203"/>
    </row>
    <row r="16" spans="1:18" x14ac:dyDescent="0.25">
      <c r="A16" s="153">
        <v>15</v>
      </c>
      <c r="B16" s="153">
        <v>444</v>
      </c>
      <c r="C16" s="137">
        <v>46167</v>
      </c>
      <c r="D16" s="144"/>
      <c r="E16" s="145"/>
      <c r="F16" s="145">
        <v>92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1"/>
      <c r="Q16" s="142">
        <f t="shared" si="0"/>
        <v>92</v>
      </c>
      <c r="R16" s="199">
        <f>+Q16+Q17+Q18</f>
        <v>740</v>
      </c>
    </row>
    <row r="17" spans="1:18" ht="17.25" customHeight="1" x14ac:dyDescent="0.25">
      <c r="A17" s="153">
        <v>16</v>
      </c>
      <c r="B17" s="153">
        <v>445</v>
      </c>
      <c r="C17" s="137">
        <v>46167</v>
      </c>
      <c r="D17" s="144"/>
      <c r="E17" s="145"/>
      <c r="F17" s="145">
        <v>610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1"/>
      <c r="Q17" s="142">
        <f t="shared" si="0"/>
        <v>610</v>
      </c>
      <c r="R17" s="199"/>
    </row>
    <row r="18" spans="1:18" x14ac:dyDescent="0.25">
      <c r="A18" s="153">
        <v>17</v>
      </c>
      <c r="B18" s="153">
        <v>454</v>
      </c>
      <c r="C18" s="137">
        <v>46167</v>
      </c>
      <c r="D18" s="138"/>
      <c r="E18" s="139"/>
      <c r="F18" s="139"/>
      <c r="G18" s="139"/>
      <c r="H18" s="139"/>
      <c r="I18" s="139"/>
      <c r="J18" s="139"/>
      <c r="K18" s="139"/>
      <c r="L18" s="139">
        <v>38</v>
      </c>
      <c r="M18" s="139"/>
      <c r="N18" s="139"/>
      <c r="O18" s="139"/>
      <c r="P18" s="141"/>
      <c r="Q18" s="142">
        <f t="shared" si="0"/>
        <v>38</v>
      </c>
      <c r="R18" s="199"/>
    </row>
    <row r="19" spans="1:18" x14ac:dyDescent="0.25">
      <c r="A19" s="115">
        <v>18</v>
      </c>
      <c r="B19" s="115">
        <v>455</v>
      </c>
      <c r="C19" s="108">
        <v>46168</v>
      </c>
      <c r="D19" s="146"/>
      <c r="E19" s="147"/>
      <c r="F19" s="147"/>
      <c r="G19" s="147">
        <v>605</v>
      </c>
      <c r="H19" s="147"/>
      <c r="I19" s="147"/>
      <c r="J19" s="147"/>
      <c r="K19" s="147"/>
      <c r="L19" s="147"/>
      <c r="M19" s="147"/>
      <c r="N19" s="147"/>
      <c r="O19" s="147"/>
      <c r="P19" s="105"/>
      <c r="Q19" s="111">
        <f t="shared" si="0"/>
        <v>605</v>
      </c>
      <c r="R19" s="161">
        <v>605</v>
      </c>
    </row>
    <row r="20" spans="1:18" x14ac:dyDescent="0.25">
      <c r="A20" s="7">
        <v>19</v>
      </c>
      <c r="B20" s="7"/>
      <c r="C20" s="8">
        <v>46169</v>
      </c>
      <c r="D20" s="1"/>
      <c r="E20" s="1"/>
      <c r="F20" s="1"/>
      <c r="G20" s="1"/>
      <c r="H20" s="1"/>
      <c r="I20" s="1"/>
      <c r="J20" s="1">
        <v>870</v>
      </c>
      <c r="K20" s="1"/>
      <c r="L20" s="1"/>
      <c r="M20" s="1"/>
      <c r="N20" s="1"/>
      <c r="O20" s="1"/>
      <c r="P20" s="4"/>
      <c r="Q20" s="6">
        <f t="shared" si="0"/>
        <v>870</v>
      </c>
    </row>
    <row r="21" spans="1:18" x14ac:dyDescent="0.25">
      <c r="A21" s="7">
        <v>20</v>
      </c>
      <c r="B21" s="7"/>
      <c r="C21" s="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4"/>
      <c r="Q21" s="6">
        <f t="shared" si="0"/>
        <v>0</v>
      </c>
    </row>
    <row r="22" spans="1:18" hidden="1" x14ac:dyDescent="0.25">
      <c r="A22" s="7">
        <v>21</v>
      </c>
      <c r="B22" s="7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4"/>
      <c r="Q22" s="6">
        <f t="shared" si="0"/>
        <v>0</v>
      </c>
    </row>
    <row r="23" spans="1:18" hidden="1" x14ac:dyDescent="0.25">
      <c r="A23" s="7">
        <v>22</v>
      </c>
      <c r="B23" s="7"/>
      <c r="C23" s="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"/>
      <c r="Q23" s="6">
        <f t="shared" si="0"/>
        <v>0</v>
      </c>
    </row>
    <row r="24" spans="1:18" hidden="1" x14ac:dyDescent="0.25">
      <c r="A24" s="7">
        <v>23</v>
      </c>
      <c r="B24" s="7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"/>
      <c r="Q24" s="6">
        <f t="shared" si="0"/>
        <v>0</v>
      </c>
    </row>
    <row r="25" spans="1:18" hidden="1" x14ac:dyDescent="0.25">
      <c r="A25" s="7">
        <v>24</v>
      </c>
      <c r="B25" s="7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  <c r="Q25" s="6">
        <f t="shared" si="0"/>
        <v>0</v>
      </c>
    </row>
    <row r="26" spans="1:18" hidden="1" x14ac:dyDescent="0.25">
      <c r="A26" s="7">
        <v>25</v>
      </c>
      <c r="B26" s="7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  <c r="Q26" s="6">
        <f t="shared" si="0"/>
        <v>0</v>
      </c>
    </row>
    <row r="27" spans="1:18" hidden="1" x14ac:dyDescent="0.25">
      <c r="A27" s="7">
        <v>26</v>
      </c>
      <c r="B27" s="7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  <c r="Q27" s="6">
        <f t="shared" si="0"/>
        <v>0</v>
      </c>
    </row>
    <row r="28" spans="1:18" hidden="1" x14ac:dyDescent="0.25">
      <c r="A28" s="7">
        <v>27</v>
      </c>
      <c r="B28" s="7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  <c r="Q28" s="6">
        <f t="shared" si="0"/>
        <v>0</v>
      </c>
    </row>
    <row r="29" spans="1:18" hidden="1" x14ac:dyDescent="0.25">
      <c r="A29" s="7">
        <v>28</v>
      </c>
      <c r="B29" s="7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  <c r="Q29" s="6">
        <f t="shared" si="0"/>
        <v>0</v>
      </c>
    </row>
    <row r="30" spans="1:18" hidden="1" x14ac:dyDescent="0.25">
      <c r="A30" s="7">
        <v>29</v>
      </c>
      <c r="B30" s="7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  <c r="Q30" s="6">
        <f t="shared" si="0"/>
        <v>0</v>
      </c>
    </row>
    <row r="31" spans="1:18" x14ac:dyDescent="0.25">
      <c r="A31" s="7">
        <v>30</v>
      </c>
      <c r="B31" s="7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"/>
      <c r="Q31" s="6">
        <f t="shared" si="0"/>
        <v>0</v>
      </c>
    </row>
    <row r="32" spans="1:18" x14ac:dyDescent="0.25">
      <c r="C32" s="21" t="s">
        <v>11</v>
      </c>
      <c r="D32" s="3">
        <f>SUM(D2:D31)</f>
        <v>481.5</v>
      </c>
      <c r="E32" s="3">
        <f>SUM(E2:E31)</f>
        <v>0</v>
      </c>
      <c r="F32" s="3">
        <f t="shared" ref="F32:P32" si="1">SUM(F2:F31)</f>
        <v>2481</v>
      </c>
      <c r="G32" s="3">
        <f t="shared" si="1"/>
        <v>605</v>
      </c>
      <c r="H32" s="3">
        <f t="shared" si="1"/>
        <v>0</v>
      </c>
      <c r="I32" s="3">
        <f t="shared" si="1"/>
        <v>107.12</v>
      </c>
      <c r="J32" s="3">
        <f t="shared" si="1"/>
        <v>870</v>
      </c>
      <c r="K32" s="3">
        <f t="shared" si="1"/>
        <v>0</v>
      </c>
      <c r="L32" s="3">
        <f t="shared" si="1"/>
        <v>343</v>
      </c>
      <c r="M32" s="3">
        <f t="shared" si="1"/>
        <v>260</v>
      </c>
      <c r="N32" s="3">
        <f t="shared" si="1"/>
        <v>0</v>
      </c>
      <c r="O32" s="3">
        <f t="shared" si="1"/>
        <v>0</v>
      </c>
      <c r="P32" s="3">
        <f t="shared" si="1"/>
        <v>0</v>
      </c>
      <c r="Q32" s="3">
        <f>SUM(Q2:Q31)</f>
        <v>5147.62</v>
      </c>
      <c r="R32" t="s">
        <v>130</v>
      </c>
    </row>
    <row r="33" spans="3:19" x14ac:dyDescent="0.25">
      <c r="C33" s="21" t="s">
        <v>9</v>
      </c>
      <c r="D33" s="22">
        <f>'INGRESO DETALLADO INDIVIDUAL'!F65</f>
        <v>0</v>
      </c>
      <c r="E33" s="22">
        <f>'INGRESO DETALLADO INDIVIDUAL'!M65</f>
        <v>0</v>
      </c>
      <c r="F33" s="22">
        <f>'INGRESO DETALLADO INDIVIDUAL'!T65</f>
        <v>934</v>
      </c>
      <c r="G33" s="22">
        <f>'INGRESO DETALLADO INDIVIDUAL'!AA65</f>
        <v>8</v>
      </c>
      <c r="H33" s="22">
        <f>'INGRESO DETALLADO INDIVIDUAL'!AH65</f>
        <v>0</v>
      </c>
      <c r="I33" s="22">
        <f>'INGRESO DETALLADO INDIVIDUAL'!AO65</f>
        <v>107.12</v>
      </c>
      <c r="J33" s="22">
        <f>'INGRESO DETALLADO INDIVIDUAL'!AV65</f>
        <v>0</v>
      </c>
      <c r="K33" s="22">
        <f>'INGRESO DETALLADO INDIVIDUAL'!BC65</f>
        <v>0</v>
      </c>
      <c r="L33" s="22">
        <f>'INGRESO DETALLADO INDIVIDUAL'!BJ65</f>
        <v>265.00085897030965</v>
      </c>
      <c r="M33" s="22">
        <f>'INGRESO DETALLADO INDIVIDUAL'!BQ65</f>
        <v>233</v>
      </c>
      <c r="N33" s="22">
        <f>'INGRESO DETALLADO INDIVIDUAL'!BX65</f>
        <v>0</v>
      </c>
      <c r="O33" s="22">
        <f>'INGRESO DETALLADO INDIVIDUAL'!CE65</f>
        <v>0</v>
      </c>
      <c r="P33" s="22">
        <f>'INGRESO DETALLADO INDIVIDUAL'!CL65</f>
        <v>0</v>
      </c>
      <c r="Q33" s="93">
        <f>SUM(D33:P33)</f>
        <v>1547.1208589703097</v>
      </c>
      <c r="R33" t="s">
        <v>131</v>
      </c>
    </row>
    <row r="34" spans="3:19" x14ac:dyDescent="0.25">
      <c r="C34" s="21" t="s">
        <v>10</v>
      </c>
      <c r="D34" s="3">
        <f>D32-D33</f>
        <v>481.5</v>
      </c>
      <c r="E34" s="3">
        <f t="shared" ref="E34:P34" si="2">E32-E33</f>
        <v>0</v>
      </c>
      <c r="F34" s="162">
        <f t="shared" si="2"/>
        <v>1547</v>
      </c>
      <c r="G34" s="3">
        <f t="shared" si="2"/>
        <v>597</v>
      </c>
      <c r="H34" s="3">
        <f t="shared" si="2"/>
        <v>0</v>
      </c>
      <c r="I34" s="3">
        <f t="shared" si="2"/>
        <v>0</v>
      </c>
      <c r="J34" s="3">
        <f t="shared" si="2"/>
        <v>870</v>
      </c>
      <c r="K34" s="3">
        <f t="shared" si="2"/>
        <v>0</v>
      </c>
      <c r="L34" s="3">
        <f t="shared" si="2"/>
        <v>77.99914102969035</v>
      </c>
      <c r="M34" s="3">
        <f t="shared" si="2"/>
        <v>27</v>
      </c>
      <c r="N34" s="3">
        <f t="shared" si="2"/>
        <v>0</v>
      </c>
      <c r="O34" s="3">
        <f t="shared" si="2"/>
        <v>0</v>
      </c>
      <c r="P34" s="3">
        <f t="shared" si="2"/>
        <v>0</v>
      </c>
      <c r="Q34" s="3">
        <f>SUM(D34:P34)</f>
        <v>3600.4991410296902</v>
      </c>
      <c r="R34" t="s">
        <v>132</v>
      </c>
    </row>
    <row r="35" spans="3:19" x14ac:dyDescent="0.25">
      <c r="C35" s="164" t="s">
        <v>173</v>
      </c>
      <c r="D35" s="163">
        <v>0</v>
      </c>
      <c r="E35" s="163">
        <f t="shared" ref="E35:P35" si="3">+E32*10%</f>
        <v>0</v>
      </c>
      <c r="F35" s="163">
        <v>0</v>
      </c>
      <c r="G35" s="163">
        <f t="shared" si="3"/>
        <v>60.5</v>
      </c>
      <c r="H35" s="163">
        <f t="shared" si="3"/>
        <v>0</v>
      </c>
      <c r="I35" s="163">
        <v>0</v>
      </c>
      <c r="J35" s="163">
        <f t="shared" si="3"/>
        <v>87</v>
      </c>
      <c r="K35" s="163">
        <f t="shared" si="3"/>
        <v>0</v>
      </c>
      <c r="L35" s="163">
        <f t="shared" si="3"/>
        <v>34.300000000000004</v>
      </c>
      <c r="M35" s="163">
        <f t="shared" si="3"/>
        <v>26</v>
      </c>
      <c r="N35" s="163">
        <f t="shared" si="3"/>
        <v>0</v>
      </c>
      <c r="O35" s="163">
        <f t="shared" si="3"/>
        <v>0</v>
      </c>
      <c r="P35" s="163">
        <f t="shared" si="3"/>
        <v>0</v>
      </c>
      <c r="Q35" s="163">
        <f>+D35+E35+F35+G35+H35+I35+J35+K35+L35+M35+N35+O35+P35</f>
        <v>207.8</v>
      </c>
    </row>
    <row r="36" spans="3:19" x14ac:dyDescent="0.25">
      <c r="C36" s="164" t="s">
        <v>174</v>
      </c>
      <c r="D36" s="160">
        <f>+D32-D35</f>
        <v>481.5</v>
      </c>
      <c r="E36" s="160">
        <f t="shared" ref="E36:P36" si="4">+E32-E35</f>
        <v>0</v>
      </c>
      <c r="F36" s="160">
        <v>0</v>
      </c>
      <c r="G36" s="160">
        <f t="shared" si="4"/>
        <v>544.5</v>
      </c>
      <c r="H36" s="160">
        <f t="shared" si="4"/>
        <v>0</v>
      </c>
      <c r="I36" s="160">
        <f t="shared" si="4"/>
        <v>107.12</v>
      </c>
      <c r="J36" s="160">
        <f t="shared" si="4"/>
        <v>783</v>
      </c>
      <c r="K36" s="160">
        <f t="shared" si="4"/>
        <v>0</v>
      </c>
      <c r="L36" s="160">
        <f t="shared" si="4"/>
        <v>308.7</v>
      </c>
      <c r="M36" s="160">
        <f t="shared" si="4"/>
        <v>234</v>
      </c>
      <c r="N36" s="160">
        <f t="shared" si="4"/>
        <v>0</v>
      </c>
      <c r="O36" s="160">
        <f t="shared" si="4"/>
        <v>0</v>
      </c>
      <c r="P36" s="160">
        <f t="shared" si="4"/>
        <v>0</v>
      </c>
      <c r="Q36" s="165">
        <f>+D36+E36+F36+G36+H36+I36+J36+K36+L36+M36+N36+O36+P36</f>
        <v>2458.8199999999997</v>
      </c>
    </row>
    <row r="37" spans="3:19" x14ac:dyDescent="0.25"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"/>
      <c r="R37" s="36"/>
    </row>
    <row r="38" spans="3:19" x14ac:dyDescent="0.25">
      <c r="Q38" s="36"/>
    </row>
    <row r="39" spans="3:19" x14ac:dyDescent="0.25">
      <c r="Q39" s="6" t="s">
        <v>17</v>
      </c>
      <c r="R39" s="182">
        <f>+Q32</f>
        <v>5147.62</v>
      </c>
    </row>
    <row r="40" spans="3:19" x14ac:dyDescent="0.25">
      <c r="Q40" s="166" t="s">
        <v>175</v>
      </c>
      <c r="R40" s="183">
        <f>+Q33</f>
        <v>1547.1208589703097</v>
      </c>
    </row>
    <row r="41" spans="3:19" x14ac:dyDescent="0.25">
      <c r="Q41" s="166" t="s">
        <v>176</v>
      </c>
      <c r="R41" s="6">
        <f>+'INGRESOS DIARIOS INDIVIDUALES'!H64+'INGRESOS DIARIOS INDIVIDUALES'!I64</f>
        <v>1168</v>
      </c>
    </row>
    <row r="42" spans="3:19" x14ac:dyDescent="0.25">
      <c r="Q42" s="166" t="s">
        <v>177</v>
      </c>
      <c r="R42" s="6">
        <f>+'INGRESOS DIARIOS INDIVIDUALES'!G64</f>
        <v>361.72085897030968</v>
      </c>
      <c r="S42" s="181">
        <f>+R41+R42</f>
        <v>1529.7208589703096</v>
      </c>
    </row>
    <row r="43" spans="3:19" x14ac:dyDescent="0.25">
      <c r="Q43" s="167" t="s">
        <v>173</v>
      </c>
      <c r="R43" s="6">
        <f>+Q35</f>
        <v>207.8</v>
      </c>
      <c r="S43" s="36">
        <f>+R39-R40-R43</f>
        <v>3392.6991410296901</v>
      </c>
    </row>
    <row r="44" spans="3:19" x14ac:dyDescent="0.25">
      <c r="Q44" s="29"/>
      <c r="R44" s="29"/>
    </row>
    <row r="49" spans="13:13" ht="34.5" x14ac:dyDescent="0.25">
      <c r="M49" s="98"/>
    </row>
    <row r="50" spans="13:13" ht="34.5" x14ac:dyDescent="0.25">
      <c r="M50" s="98"/>
    </row>
  </sheetData>
  <mergeCells count="6">
    <mergeCell ref="R16:R18"/>
    <mergeCell ref="R2:R4"/>
    <mergeCell ref="R7:R8"/>
    <mergeCell ref="R9:R11"/>
    <mergeCell ref="R12:R13"/>
    <mergeCell ref="R14:R1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983A-78AE-4BC2-A62D-823223B9BDE5}">
  <dimension ref="A1:K68"/>
  <sheetViews>
    <sheetView zoomScaleNormal="100" workbookViewId="0">
      <pane ySplit="2" topLeftCell="A3" activePane="bottomLeft" state="frozen"/>
      <selection activeCell="B3" sqref="B3:F3"/>
      <selection pane="bottomLeft" activeCell="M12" sqref="M12"/>
    </sheetView>
  </sheetViews>
  <sheetFormatPr baseColWidth="10" defaultRowHeight="15" x14ac:dyDescent="0.25"/>
  <cols>
    <col min="1" max="1" width="5" customWidth="1"/>
    <col min="2" max="2" width="16.42578125" customWidth="1"/>
    <col min="3" max="3" width="13.42578125" customWidth="1"/>
    <col min="4" max="4" width="12.28515625" customWidth="1"/>
    <col min="5" max="5" width="12.7109375" customWidth="1"/>
    <col min="6" max="6" width="9.42578125" customWidth="1"/>
    <col min="7" max="7" width="10.5703125" customWidth="1"/>
    <col min="8" max="9" width="11.5703125" customWidth="1"/>
  </cols>
  <sheetData>
    <row r="1" spans="1:9" ht="3.75" customHeight="1" x14ac:dyDescent="0.25">
      <c r="A1" s="204" t="s">
        <v>6</v>
      </c>
      <c r="B1" s="204"/>
      <c r="C1" s="204"/>
      <c r="D1" s="204"/>
      <c r="E1" s="204"/>
      <c r="F1" s="204"/>
      <c r="G1" s="204"/>
      <c r="H1" s="204"/>
      <c r="I1" s="24"/>
    </row>
    <row r="2" spans="1:9" ht="30" x14ac:dyDescent="0.25">
      <c r="A2" s="15" t="s">
        <v>2</v>
      </c>
      <c r="B2" s="16" t="s">
        <v>126</v>
      </c>
      <c r="C2" s="16" t="s">
        <v>128</v>
      </c>
      <c r="D2" s="16" t="s">
        <v>1</v>
      </c>
      <c r="E2" s="17" t="s">
        <v>4</v>
      </c>
      <c r="F2" s="18" t="s">
        <v>7</v>
      </c>
      <c r="G2" s="20" t="s">
        <v>8</v>
      </c>
      <c r="H2" s="27" t="s">
        <v>13</v>
      </c>
      <c r="I2" s="27" t="s">
        <v>14</v>
      </c>
    </row>
    <row r="3" spans="1:9" x14ac:dyDescent="0.25">
      <c r="A3" s="7">
        <v>1</v>
      </c>
      <c r="B3" s="7" t="s">
        <v>127</v>
      </c>
      <c r="C3" s="8" t="s">
        <v>125</v>
      </c>
      <c r="D3" s="13">
        <v>46149</v>
      </c>
      <c r="E3" s="10"/>
      <c r="F3" s="10"/>
      <c r="G3" s="10"/>
      <c r="H3" s="158">
        <v>174</v>
      </c>
      <c r="I3" s="12">
        <v>0</v>
      </c>
    </row>
    <row r="4" spans="1:9" x14ac:dyDescent="0.25">
      <c r="A4" s="7">
        <v>2</v>
      </c>
      <c r="B4" s="7" t="s">
        <v>129</v>
      </c>
      <c r="C4" s="8" t="s">
        <v>125</v>
      </c>
      <c r="D4" s="13">
        <v>46149</v>
      </c>
      <c r="E4" s="146">
        <v>69895.8</v>
      </c>
      <c r="F4" s="11">
        <v>652.5</v>
      </c>
      <c r="G4" s="10">
        <f>+E4/F4</f>
        <v>107.12</v>
      </c>
      <c r="H4" s="12">
        <v>0</v>
      </c>
      <c r="I4" s="12">
        <v>0</v>
      </c>
    </row>
    <row r="5" spans="1:9" x14ac:dyDescent="0.25">
      <c r="A5" s="7">
        <v>3</v>
      </c>
      <c r="B5" s="7"/>
      <c r="C5" s="8"/>
      <c r="D5" s="13"/>
      <c r="E5" s="10"/>
      <c r="F5" s="10"/>
      <c r="G5" s="10"/>
      <c r="H5" s="12"/>
      <c r="I5" s="12"/>
    </row>
    <row r="6" spans="1:9" x14ac:dyDescent="0.25">
      <c r="A6" s="7">
        <v>4</v>
      </c>
      <c r="B6" s="7" t="s">
        <v>145</v>
      </c>
      <c r="C6" s="38" t="s">
        <v>146</v>
      </c>
      <c r="D6" s="13">
        <v>46155</v>
      </c>
      <c r="E6" s="146">
        <v>109340.72</v>
      </c>
      <c r="F6" s="10">
        <v>660.27</v>
      </c>
      <c r="G6" s="10">
        <f>+E6/F6</f>
        <v>165.60001211625547</v>
      </c>
      <c r="H6" s="12"/>
      <c r="I6" s="12"/>
    </row>
    <row r="7" spans="1:9" x14ac:dyDescent="0.25">
      <c r="A7" s="7">
        <v>5</v>
      </c>
      <c r="B7" s="8" t="s">
        <v>127</v>
      </c>
      <c r="C7" s="38" t="s">
        <v>141</v>
      </c>
      <c r="D7" s="13">
        <v>46157</v>
      </c>
      <c r="E7" s="10">
        <v>0</v>
      </c>
      <c r="F7" s="10">
        <v>0</v>
      </c>
      <c r="G7" s="10">
        <v>0</v>
      </c>
      <c r="H7" s="12">
        <v>0</v>
      </c>
      <c r="I7" s="158">
        <v>160</v>
      </c>
    </row>
    <row r="8" spans="1:9" x14ac:dyDescent="0.25">
      <c r="A8" s="7">
        <v>6</v>
      </c>
      <c r="B8" s="7" t="s">
        <v>152</v>
      </c>
      <c r="C8" s="38" t="s">
        <v>142</v>
      </c>
      <c r="D8" s="13">
        <v>46160</v>
      </c>
      <c r="E8" s="10">
        <v>5601.92</v>
      </c>
      <c r="F8" s="10">
        <v>700.24</v>
      </c>
      <c r="G8" s="10">
        <f>+E8/F8</f>
        <v>8</v>
      </c>
      <c r="H8" s="12">
        <v>0</v>
      </c>
      <c r="I8" s="12">
        <v>0</v>
      </c>
    </row>
    <row r="9" spans="1:9" x14ac:dyDescent="0.25">
      <c r="A9" s="7">
        <v>7</v>
      </c>
      <c r="B9" s="7" t="s">
        <v>145</v>
      </c>
      <c r="C9" s="38" t="s">
        <v>159</v>
      </c>
      <c r="D9" s="13">
        <v>46165</v>
      </c>
      <c r="E9" s="146">
        <v>33486</v>
      </c>
      <c r="F9" s="10">
        <v>715.5</v>
      </c>
      <c r="G9" s="10">
        <f>+E9/F9</f>
        <v>46.80083857442348</v>
      </c>
      <c r="H9" s="12"/>
      <c r="I9" s="12"/>
    </row>
    <row r="10" spans="1:9" x14ac:dyDescent="0.25">
      <c r="A10" s="7">
        <v>8</v>
      </c>
      <c r="B10" s="7" t="s">
        <v>127</v>
      </c>
      <c r="C10" s="38" t="s">
        <v>142</v>
      </c>
      <c r="D10" s="13">
        <v>46165</v>
      </c>
      <c r="E10" s="10"/>
      <c r="F10" s="10"/>
      <c r="G10" s="10"/>
      <c r="H10" s="12"/>
      <c r="I10" s="158">
        <v>600</v>
      </c>
    </row>
    <row r="11" spans="1:9" ht="24.75" customHeight="1" x14ac:dyDescent="0.25">
      <c r="A11" s="7">
        <v>9</v>
      </c>
      <c r="B11" s="7" t="s">
        <v>161</v>
      </c>
      <c r="C11" s="38" t="s">
        <v>142</v>
      </c>
      <c r="D11" s="13">
        <v>46167</v>
      </c>
      <c r="E11" s="10"/>
      <c r="F11" s="10"/>
      <c r="G11" s="10"/>
      <c r="H11" s="12"/>
      <c r="I11" s="158">
        <v>148.5</v>
      </c>
    </row>
    <row r="12" spans="1:9" ht="21.75" customHeight="1" x14ac:dyDescent="0.25">
      <c r="A12" s="7">
        <v>10</v>
      </c>
      <c r="B12" s="7" t="s">
        <v>145</v>
      </c>
      <c r="C12" s="38" t="s">
        <v>142</v>
      </c>
      <c r="D12" s="13">
        <v>46167</v>
      </c>
      <c r="E12" s="146">
        <v>24783.72</v>
      </c>
      <c r="F12" s="10">
        <v>724.67</v>
      </c>
      <c r="G12" s="10">
        <f t="shared" ref="G12" si="0">+E12/F12</f>
        <v>34.20000827963073</v>
      </c>
      <c r="H12" s="12"/>
      <c r="I12" s="12"/>
    </row>
    <row r="13" spans="1:9" x14ac:dyDescent="0.25">
      <c r="A13" s="7">
        <v>11</v>
      </c>
      <c r="B13" s="7" t="s">
        <v>185</v>
      </c>
      <c r="C13" s="38" t="s">
        <v>142</v>
      </c>
      <c r="D13" s="13">
        <v>46167</v>
      </c>
      <c r="E13" s="10"/>
      <c r="F13" s="10"/>
      <c r="G13" s="10"/>
      <c r="H13" s="12"/>
      <c r="I13" s="158">
        <v>85.5</v>
      </c>
    </row>
    <row r="14" spans="1:9" x14ac:dyDescent="0.25">
      <c r="A14" s="7">
        <v>12</v>
      </c>
      <c r="B14" s="7"/>
      <c r="C14" s="38"/>
      <c r="D14" s="13"/>
      <c r="E14" s="10"/>
      <c r="F14" s="10"/>
      <c r="G14" s="10"/>
      <c r="H14" s="12"/>
      <c r="I14" s="12"/>
    </row>
    <row r="15" spans="1:9" ht="23.25" hidden="1" customHeight="1" x14ac:dyDescent="0.25">
      <c r="A15" s="7">
        <v>13</v>
      </c>
      <c r="B15" s="7"/>
      <c r="C15" s="38"/>
      <c r="D15" s="13"/>
      <c r="E15" s="10"/>
      <c r="F15" s="10"/>
      <c r="G15" s="10"/>
      <c r="H15" s="12"/>
      <c r="I15" s="12"/>
    </row>
    <row r="16" spans="1:9" hidden="1" x14ac:dyDescent="0.25">
      <c r="A16" s="7">
        <v>14</v>
      </c>
      <c r="B16" s="7"/>
      <c r="C16" s="7"/>
      <c r="D16" s="13"/>
      <c r="E16" s="10"/>
      <c r="F16" s="10"/>
      <c r="G16" s="10"/>
      <c r="H16" s="12"/>
      <c r="I16" s="12"/>
    </row>
    <row r="17" spans="1:9" hidden="1" x14ac:dyDescent="0.25">
      <c r="A17" s="7">
        <v>15</v>
      </c>
      <c r="B17" s="7"/>
      <c r="C17" s="7"/>
      <c r="D17" s="13"/>
      <c r="E17" s="10"/>
      <c r="F17" s="10"/>
      <c r="G17" s="10"/>
      <c r="H17" s="12"/>
      <c r="I17" s="12"/>
    </row>
    <row r="18" spans="1:9" hidden="1" x14ac:dyDescent="0.25">
      <c r="A18" s="7">
        <v>16</v>
      </c>
      <c r="B18" s="7"/>
      <c r="C18" s="7"/>
      <c r="D18" s="13"/>
      <c r="E18" s="10"/>
      <c r="F18" s="10"/>
      <c r="G18" s="10"/>
      <c r="H18" s="12"/>
      <c r="I18" s="12"/>
    </row>
    <row r="19" spans="1:9" hidden="1" x14ac:dyDescent="0.25">
      <c r="A19" s="7">
        <v>17</v>
      </c>
      <c r="B19" s="7"/>
      <c r="C19" s="7"/>
      <c r="D19" s="13"/>
      <c r="E19" s="10"/>
      <c r="F19" s="10"/>
      <c r="G19" s="10"/>
      <c r="H19" s="12"/>
      <c r="I19" s="12"/>
    </row>
    <row r="20" spans="1:9" hidden="1" x14ac:dyDescent="0.25">
      <c r="A20" s="7">
        <v>18</v>
      </c>
      <c r="B20" s="7"/>
      <c r="C20" s="7"/>
      <c r="D20" s="13"/>
      <c r="E20" s="10"/>
      <c r="F20" s="10"/>
      <c r="G20" s="10"/>
      <c r="H20" s="12"/>
      <c r="I20" s="12"/>
    </row>
    <row r="21" spans="1:9" hidden="1" x14ac:dyDescent="0.25">
      <c r="A21" s="7">
        <v>19</v>
      </c>
      <c r="B21" s="7"/>
      <c r="C21" s="7"/>
      <c r="D21" s="13"/>
      <c r="E21" s="10"/>
      <c r="F21" s="10"/>
      <c r="G21" s="10"/>
      <c r="H21" s="12"/>
      <c r="I21" s="12"/>
    </row>
    <row r="22" spans="1:9" hidden="1" x14ac:dyDescent="0.25">
      <c r="A22" s="7">
        <v>20</v>
      </c>
      <c r="B22" s="7"/>
      <c r="C22" s="7"/>
      <c r="D22" s="13"/>
      <c r="E22" s="10"/>
      <c r="F22" s="10"/>
      <c r="G22" s="10"/>
      <c r="H22" s="12"/>
      <c r="I22" s="12"/>
    </row>
    <row r="23" spans="1:9" hidden="1" x14ac:dyDescent="0.25">
      <c r="A23" s="7">
        <v>21</v>
      </c>
      <c r="B23" s="7"/>
      <c r="C23" s="7"/>
      <c r="D23" s="13"/>
      <c r="E23" s="10"/>
      <c r="F23" s="10"/>
      <c r="G23" s="10"/>
      <c r="H23" s="12"/>
      <c r="I23" s="12"/>
    </row>
    <row r="24" spans="1:9" hidden="1" x14ac:dyDescent="0.25">
      <c r="A24" s="7">
        <v>22</v>
      </c>
      <c r="B24" s="7"/>
      <c r="C24" s="7"/>
      <c r="D24" s="13"/>
      <c r="E24" s="10"/>
      <c r="F24" s="10"/>
      <c r="G24" s="10"/>
      <c r="H24" s="12"/>
      <c r="I24" s="12"/>
    </row>
    <row r="25" spans="1:9" hidden="1" x14ac:dyDescent="0.25">
      <c r="A25" s="7">
        <v>23</v>
      </c>
      <c r="B25" s="7"/>
      <c r="C25" s="7"/>
      <c r="D25" s="13"/>
      <c r="E25" s="10"/>
      <c r="F25" s="10"/>
      <c r="G25" s="10"/>
      <c r="H25" s="12"/>
      <c r="I25" s="12"/>
    </row>
    <row r="26" spans="1:9" hidden="1" x14ac:dyDescent="0.25">
      <c r="A26" s="7">
        <v>24</v>
      </c>
      <c r="B26" s="7"/>
      <c r="C26" s="7"/>
      <c r="D26" s="13"/>
      <c r="E26" s="10"/>
      <c r="F26" s="10"/>
      <c r="G26" s="10"/>
      <c r="H26" s="12"/>
      <c r="I26" s="12"/>
    </row>
    <row r="27" spans="1:9" hidden="1" x14ac:dyDescent="0.25">
      <c r="A27" s="7">
        <v>25</v>
      </c>
      <c r="B27" s="7"/>
      <c r="C27" s="7"/>
      <c r="D27" s="13"/>
      <c r="E27" s="10"/>
      <c r="F27" s="10"/>
      <c r="G27" s="10"/>
      <c r="H27" s="12"/>
      <c r="I27" s="12"/>
    </row>
    <row r="28" spans="1:9" hidden="1" x14ac:dyDescent="0.25">
      <c r="A28" s="7">
        <v>26</v>
      </c>
      <c r="B28" s="7"/>
      <c r="C28" s="7"/>
      <c r="D28" s="13"/>
      <c r="E28" s="10"/>
      <c r="F28" s="10"/>
      <c r="G28" s="10"/>
      <c r="H28" s="12"/>
      <c r="I28" s="12"/>
    </row>
    <row r="29" spans="1:9" hidden="1" x14ac:dyDescent="0.25">
      <c r="A29" s="7">
        <v>27</v>
      </c>
      <c r="B29" s="7"/>
      <c r="C29" s="7"/>
      <c r="D29" s="13"/>
      <c r="E29" s="10"/>
      <c r="F29" s="10"/>
      <c r="G29" s="10"/>
      <c r="H29" s="12"/>
      <c r="I29" s="12"/>
    </row>
    <row r="30" spans="1:9" hidden="1" x14ac:dyDescent="0.25">
      <c r="A30" s="7">
        <v>28</v>
      </c>
      <c r="B30" s="7"/>
      <c r="C30" s="7"/>
      <c r="D30" s="13"/>
      <c r="E30" s="10"/>
      <c r="F30" s="10"/>
      <c r="G30" s="10"/>
      <c r="H30" s="12"/>
      <c r="I30" s="12"/>
    </row>
    <row r="31" spans="1:9" hidden="1" x14ac:dyDescent="0.25">
      <c r="A31" s="7">
        <v>29</v>
      </c>
      <c r="B31" s="7"/>
      <c r="C31" s="7"/>
      <c r="D31" s="13"/>
      <c r="E31" s="10"/>
      <c r="F31" s="10"/>
      <c r="G31" s="10"/>
      <c r="H31" s="12"/>
      <c r="I31" s="12"/>
    </row>
    <row r="32" spans="1:9" hidden="1" x14ac:dyDescent="0.25">
      <c r="A32" s="7">
        <v>30</v>
      </c>
      <c r="B32" s="7"/>
      <c r="C32" s="7"/>
      <c r="D32" s="13"/>
      <c r="E32" s="10"/>
      <c r="F32" s="10"/>
      <c r="G32" s="10"/>
      <c r="H32" s="12"/>
      <c r="I32" s="12"/>
    </row>
    <row r="33" spans="1:9" hidden="1" x14ac:dyDescent="0.25">
      <c r="A33" s="7">
        <v>31</v>
      </c>
      <c r="B33" s="7"/>
      <c r="C33" s="7"/>
      <c r="D33" s="13"/>
      <c r="E33" s="10"/>
      <c r="F33" s="10"/>
      <c r="G33" s="10"/>
      <c r="H33" s="12"/>
      <c r="I33" s="12"/>
    </row>
    <row r="34" spans="1:9" hidden="1" x14ac:dyDescent="0.25">
      <c r="A34" s="7">
        <v>32</v>
      </c>
      <c r="B34" s="7"/>
      <c r="C34" s="7"/>
      <c r="D34" s="13"/>
      <c r="E34" s="10"/>
      <c r="F34" s="10"/>
      <c r="G34" s="10"/>
      <c r="H34" s="12"/>
      <c r="I34" s="12"/>
    </row>
    <row r="35" spans="1:9" hidden="1" x14ac:dyDescent="0.25">
      <c r="A35" s="7">
        <v>33</v>
      </c>
      <c r="B35" s="7"/>
      <c r="C35" s="7"/>
      <c r="D35" s="13"/>
      <c r="E35" s="10"/>
      <c r="F35" s="10"/>
      <c r="G35" s="10"/>
      <c r="H35" s="12"/>
      <c r="I35" s="12"/>
    </row>
    <row r="36" spans="1:9" hidden="1" x14ac:dyDescent="0.25">
      <c r="A36" s="7">
        <v>34</v>
      </c>
      <c r="B36" s="7"/>
      <c r="C36" s="7"/>
      <c r="D36" s="13"/>
      <c r="E36" s="10"/>
      <c r="F36" s="10"/>
      <c r="G36" s="10"/>
      <c r="H36" s="12"/>
      <c r="I36" s="12"/>
    </row>
    <row r="37" spans="1:9" hidden="1" x14ac:dyDescent="0.25">
      <c r="A37" s="7">
        <v>35</v>
      </c>
      <c r="B37" s="7"/>
      <c r="C37" s="7"/>
      <c r="D37" s="13"/>
      <c r="E37" s="10"/>
      <c r="F37" s="10"/>
      <c r="G37" s="10"/>
      <c r="H37" s="12"/>
      <c r="I37" s="12"/>
    </row>
    <row r="38" spans="1:9" hidden="1" x14ac:dyDescent="0.25">
      <c r="A38" s="7">
        <v>36</v>
      </c>
      <c r="B38" s="7"/>
      <c r="C38" s="7"/>
      <c r="D38" s="13"/>
      <c r="E38" s="10"/>
      <c r="F38" s="10"/>
      <c r="G38" s="10"/>
      <c r="H38" s="12"/>
      <c r="I38" s="12"/>
    </row>
    <row r="39" spans="1:9" hidden="1" x14ac:dyDescent="0.25">
      <c r="A39" s="7">
        <v>37</v>
      </c>
      <c r="B39" s="7"/>
      <c r="C39" s="7"/>
      <c r="D39" s="13"/>
      <c r="E39" s="10"/>
      <c r="F39" s="10"/>
      <c r="G39" s="10"/>
      <c r="H39" s="12"/>
      <c r="I39" s="12"/>
    </row>
    <row r="40" spans="1:9" hidden="1" x14ac:dyDescent="0.25">
      <c r="A40" s="7">
        <v>38</v>
      </c>
      <c r="B40" s="7"/>
      <c r="C40" s="7"/>
      <c r="D40" s="13"/>
      <c r="E40" s="10"/>
      <c r="F40" s="10"/>
      <c r="G40" s="10"/>
      <c r="H40" s="12"/>
      <c r="I40" s="12"/>
    </row>
    <row r="41" spans="1:9" hidden="1" x14ac:dyDescent="0.25">
      <c r="A41" s="7">
        <v>39</v>
      </c>
      <c r="B41" s="7"/>
      <c r="C41" s="7"/>
      <c r="D41" s="13"/>
      <c r="E41" s="10"/>
      <c r="F41" s="10"/>
      <c r="G41" s="10"/>
      <c r="H41" s="12"/>
      <c r="I41" s="12"/>
    </row>
    <row r="42" spans="1:9" hidden="1" x14ac:dyDescent="0.25">
      <c r="A42" s="7">
        <v>40</v>
      </c>
      <c r="B42" s="7"/>
      <c r="C42" s="7"/>
      <c r="D42" s="13"/>
      <c r="E42" s="10"/>
      <c r="F42" s="10"/>
      <c r="G42" s="10"/>
      <c r="H42" s="12"/>
      <c r="I42" s="12"/>
    </row>
    <row r="43" spans="1:9" hidden="1" x14ac:dyDescent="0.25">
      <c r="A43" s="7">
        <v>41</v>
      </c>
      <c r="B43" s="7"/>
      <c r="C43" s="7"/>
      <c r="D43" s="13"/>
      <c r="E43" s="10"/>
      <c r="F43" s="10"/>
      <c r="G43" s="10"/>
      <c r="H43" s="12"/>
      <c r="I43" s="12"/>
    </row>
    <row r="44" spans="1:9" hidden="1" x14ac:dyDescent="0.25">
      <c r="A44" s="7">
        <v>42</v>
      </c>
      <c r="B44" s="7"/>
      <c r="C44" s="7"/>
      <c r="D44" s="13"/>
      <c r="E44" s="10"/>
      <c r="F44" s="10"/>
      <c r="G44" s="10"/>
      <c r="H44" s="12"/>
      <c r="I44" s="12"/>
    </row>
    <row r="45" spans="1:9" hidden="1" x14ac:dyDescent="0.25">
      <c r="A45" s="7">
        <v>43</v>
      </c>
      <c r="B45" s="7"/>
      <c r="C45" s="7"/>
      <c r="D45" s="13"/>
      <c r="E45" s="10"/>
      <c r="F45" s="10"/>
      <c r="G45" s="10"/>
      <c r="H45" s="12"/>
      <c r="I45" s="12"/>
    </row>
    <row r="46" spans="1:9" hidden="1" x14ac:dyDescent="0.25">
      <c r="A46" s="7">
        <v>44</v>
      </c>
      <c r="B46" s="7"/>
      <c r="C46" s="7"/>
      <c r="D46" s="13"/>
      <c r="E46" s="10"/>
      <c r="F46" s="10"/>
      <c r="G46" s="10"/>
      <c r="H46" s="12"/>
      <c r="I46" s="12"/>
    </row>
    <row r="47" spans="1:9" hidden="1" x14ac:dyDescent="0.25">
      <c r="A47" s="7">
        <v>45</v>
      </c>
      <c r="B47" s="7"/>
      <c r="C47" s="7"/>
      <c r="D47" s="13"/>
      <c r="E47" s="10"/>
      <c r="F47" s="10"/>
      <c r="G47" s="10"/>
      <c r="H47" s="12"/>
      <c r="I47" s="12"/>
    </row>
    <row r="48" spans="1:9" hidden="1" x14ac:dyDescent="0.25">
      <c r="A48" s="7">
        <v>46</v>
      </c>
      <c r="B48" s="7"/>
      <c r="C48" s="7"/>
      <c r="D48" s="13"/>
      <c r="E48" s="10"/>
      <c r="F48" s="10"/>
      <c r="G48" s="10"/>
      <c r="H48" s="12"/>
      <c r="I48" s="12"/>
    </row>
    <row r="49" spans="1:11" hidden="1" x14ac:dyDescent="0.25">
      <c r="A49" s="7">
        <v>47</v>
      </c>
      <c r="B49" s="7"/>
      <c r="C49" s="7"/>
      <c r="D49" s="13"/>
      <c r="E49" s="10"/>
      <c r="F49" s="10"/>
      <c r="G49" s="10"/>
      <c r="H49" s="12"/>
      <c r="I49" s="12"/>
    </row>
    <row r="50" spans="1:11" hidden="1" x14ac:dyDescent="0.25">
      <c r="A50" s="7">
        <v>48</v>
      </c>
      <c r="B50" s="7"/>
      <c r="C50" s="7"/>
      <c r="D50" s="13"/>
      <c r="E50" s="10"/>
      <c r="F50" s="10"/>
      <c r="G50" s="10"/>
      <c r="H50" s="12"/>
      <c r="I50" s="12"/>
    </row>
    <row r="51" spans="1:11" hidden="1" x14ac:dyDescent="0.25">
      <c r="A51" s="7">
        <v>49</v>
      </c>
      <c r="B51" s="7"/>
      <c r="C51" s="7"/>
      <c r="D51" s="13"/>
      <c r="E51" s="10"/>
      <c r="F51" s="10"/>
      <c r="G51" s="10"/>
      <c r="H51" s="12"/>
      <c r="I51" s="12"/>
    </row>
    <row r="52" spans="1:11" hidden="1" x14ac:dyDescent="0.25">
      <c r="A52" s="7">
        <v>50</v>
      </c>
      <c r="B52" s="7"/>
      <c r="C52" s="7"/>
      <c r="D52" s="13"/>
      <c r="E52" s="10"/>
      <c r="F52" s="10"/>
      <c r="G52" s="10"/>
      <c r="H52" s="12"/>
      <c r="I52" s="12"/>
    </row>
    <row r="53" spans="1:11" hidden="1" x14ac:dyDescent="0.25">
      <c r="A53" s="7">
        <v>51</v>
      </c>
      <c r="B53" s="7"/>
      <c r="C53" s="7"/>
      <c r="D53" s="13"/>
      <c r="E53" s="10"/>
      <c r="F53" s="10"/>
      <c r="G53" s="10"/>
      <c r="H53" s="12"/>
      <c r="I53" s="12"/>
    </row>
    <row r="54" spans="1:11" hidden="1" x14ac:dyDescent="0.25">
      <c r="A54" s="7">
        <v>52</v>
      </c>
      <c r="B54" s="7"/>
      <c r="C54" s="7"/>
      <c r="D54" s="13"/>
      <c r="E54" s="10"/>
      <c r="F54" s="10"/>
      <c r="G54" s="10"/>
      <c r="H54" s="12"/>
      <c r="I54" s="12"/>
    </row>
    <row r="55" spans="1:11" hidden="1" x14ac:dyDescent="0.25">
      <c r="A55" s="7">
        <v>53</v>
      </c>
      <c r="B55" s="7"/>
      <c r="C55" s="7"/>
      <c r="D55" s="13"/>
      <c r="E55" s="10"/>
      <c r="F55" s="10"/>
      <c r="G55" s="10"/>
      <c r="H55" s="12"/>
      <c r="I55" s="12"/>
    </row>
    <row r="56" spans="1:11" hidden="1" x14ac:dyDescent="0.25">
      <c r="A56" s="7">
        <v>54</v>
      </c>
      <c r="B56" s="7"/>
      <c r="C56" s="7"/>
      <c r="D56" s="13"/>
      <c r="E56" s="10"/>
      <c r="F56" s="10"/>
      <c r="G56" s="10"/>
      <c r="H56" s="12"/>
      <c r="I56" s="12"/>
    </row>
    <row r="57" spans="1:11" hidden="1" x14ac:dyDescent="0.25">
      <c r="A57" s="7">
        <v>55</v>
      </c>
      <c r="B57" s="7"/>
      <c r="C57" s="7"/>
      <c r="D57" s="13"/>
      <c r="E57" s="10"/>
      <c r="F57" s="10"/>
      <c r="G57" s="10"/>
      <c r="H57" s="12"/>
      <c r="I57" s="12"/>
    </row>
    <row r="58" spans="1:11" hidden="1" x14ac:dyDescent="0.25">
      <c r="A58" s="7">
        <v>56</v>
      </c>
      <c r="B58" s="7"/>
      <c r="C58" s="7"/>
      <c r="D58" s="13"/>
      <c r="E58" s="10"/>
      <c r="F58" s="10"/>
      <c r="G58" s="10"/>
      <c r="H58" s="12"/>
      <c r="I58" s="12"/>
    </row>
    <row r="59" spans="1:11" hidden="1" x14ac:dyDescent="0.25">
      <c r="A59" s="7">
        <v>57</v>
      </c>
      <c r="B59" s="7"/>
      <c r="C59" s="7"/>
      <c r="D59" s="13"/>
      <c r="E59" s="10"/>
      <c r="F59" s="10"/>
      <c r="G59" s="10"/>
      <c r="H59" s="12"/>
      <c r="I59" s="12"/>
    </row>
    <row r="60" spans="1:11" hidden="1" x14ac:dyDescent="0.25">
      <c r="A60" s="7">
        <v>58</v>
      </c>
      <c r="B60" s="7"/>
      <c r="C60" s="7"/>
      <c r="D60" s="13"/>
      <c r="E60" s="10"/>
      <c r="F60" s="10"/>
      <c r="G60" s="10"/>
      <c r="H60" s="12"/>
      <c r="I60" s="12"/>
    </row>
    <row r="61" spans="1:11" hidden="1" x14ac:dyDescent="0.25">
      <c r="A61" s="7">
        <v>59</v>
      </c>
      <c r="B61" s="7"/>
      <c r="C61" s="7"/>
      <c r="D61" s="13"/>
      <c r="E61" s="10"/>
      <c r="F61" s="10"/>
      <c r="G61" s="10"/>
      <c r="H61" s="12"/>
      <c r="I61" s="12"/>
    </row>
    <row r="62" spans="1:11" hidden="1" x14ac:dyDescent="0.25">
      <c r="A62" s="7">
        <v>60</v>
      </c>
      <c r="B62" s="7"/>
      <c r="C62" s="7"/>
      <c r="D62" s="13"/>
      <c r="E62" s="10"/>
      <c r="F62" s="10"/>
      <c r="G62" s="10"/>
      <c r="H62" s="12"/>
      <c r="I62" s="12"/>
    </row>
    <row r="63" spans="1:11" hidden="1" x14ac:dyDescent="0.25">
      <c r="A63" s="7">
        <v>61</v>
      </c>
      <c r="B63" s="7"/>
      <c r="C63" s="7"/>
      <c r="D63" s="13"/>
      <c r="E63" s="10"/>
      <c r="F63" s="10"/>
      <c r="G63" s="10"/>
      <c r="H63" s="12"/>
      <c r="I63" s="12"/>
    </row>
    <row r="64" spans="1:11" ht="15.75" x14ac:dyDescent="0.25">
      <c r="D64" s="21" t="s">
        <v>12</v>
      </c>
      <c r="E64" s="23">
        <f>SUM(E3:E63)</f>
        <v>243108.16000000003</v>
      </c>
      <c r="F64" s="23"/>
      <c r="G64" s="23">
        <f>SUM(G4:G63)</f>
        <v>361.72085897030968</v>
      </c>
      <c r="H64" s="23">
        <f t="shared" ref="H64:I64" si="1">SUM(H3:H63)</f>
        <v>174</v>
      </c>
      <c r="I64" s="23">
        <f t="shared" si="1"/>
        <v>994</v>
      </c>
      <c r="J64" s="3">
        <f>SUM(G64:I64)</f>
        <v>1529.7208589703096</v>
      </c>
      <c r="K64" s="9" t="s">
        <v>133</v>
      </c>
    </row>
    <row r="66" spans="5:10" x14ac:dyDescent="0.25">
      <c r="E66" s="160"/>
      <c r="G66" s="36">
        <f>+G64</f>
        <v>361.72085897030968</v>
      </c>
      <c r="I66" s="36">
        <f>+H64+I64</f>
        <v>1168</v>
      </c>
      <c r="J66" s="36">
        <f>+G66+I66</f>
        <v>1529.7208589703096</v>
      </c>
    </row>
    <row r="67" spans="5:10" x14ac:dyDescent="0.25">
      <c r="E67" s="160"/>
    </row>
    <row r="68" spans="5:10" x14ac:dyDescent="0.25">
      <c r="E68" s="160"/>
    </row>
  </sheetData>
  <mergeCells count="1">
    <mergeCell ref="A1:H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ED59-C772-4223-AFA8-C59C743DA55D}">
  <dimension ref="A1:CL72"/>
  <sheetViews>
    <sheetView zoomScale="68" zoomScaleNormal="68" workbookViewId="0">
      <pane ySplit="2" topLeftCell="A51" activePane="bottomLeft" state="frozen"/>
      <selection activeCell="B3" sqref="B3:F3"/>
      <selection pane="bottomLeft" activeCell="C72" sqref="C72"/>
    </sheetView>
  </sheetViews>
  <sheetFormatPr baseColWidth="10" defaultRowHeight="15" x14ac:dyDescent="0.25"/>
  <cols>
    <col min="1" max="1" width="5" customWidth="1"/>
    <col min="2" max="2" width="12.28515625" customWidth="1"/>
    <col min="3" max="3" width="12.7109375" customWidth="1"/>
    <col min="4" max="4" width="9.85546875" customWidth="1"/>
    <col min="5" max="5" width="10.5703125" customWidth="1"/>
    <col min="6" max="6" width="11.5703125" customWidth="1"/>
    <col min="7" max="7" width="4.140625" customWidth="1"/>
    <col min="8" max="8" width="5.28515625" customWidth="1"/>
    <col min="10" max="10" width="12.5703125" bestFit="1" customWidth="1"/>
    <col min="11" max="11" width="9.7109375" customWidth="1"/>
    <col min="12" max="12" width="10.85546875" customWidth="1"/>
    <col min="13" max="13" width="10.42578125" customWidth="1"/>
    <col min="14" max="14" width="3.7109375" customWidth="1"/>
    <col min="15" max="15" width="5.28515625" customWidth="1"/>
    <col min="17" max="17" width="12.5703125" bestFit="1" customWidth="1"/>
    <col min="18" max="18" width="9.7109375" customWidth="1"/>
    <col min="19" max="19" width="10.85546875" customWidth="1"/>
    <col min="20" max="20" width="10.42578125" customWidth="1"/>
    <col min="21" max="21" width="4.140625" customWidth="1"/>
    <col min="22" max="22" width="5.28515625" customWidth="1"/>
    <col min="24" max="24" width="12.5703125" bestFit="1" customWidth="1"/>
    <col min="25" max="25" width="9.7109375" customWidth="1"/>
    <col min="26" max="26" width="10.85546875" customWidth="1"/>
    <col min="27" max="27" width="10.42578125" customWidth="1"/>
    <col min="28" max="28" width="5.140625" customWidth="1"/>
    <col min="29" max="29" width="5.28515625" customWidth="1"/>
    <col min="31" max="31" width="12.5703125" bestFit="1" customWidth="1"/>
    <col min="32" max="32" width="9.7109375" customWidth="1"/>
    <col min="33" max="33" width="11.5703125" customWidth="1"/>
    <col min="34" max="34" width="10.42578125" customWidth="1"/>
    <col min="35" max="35" width="4.28515625" customWidth="1"/>
    <col min="36" max="36" width="5.28515625" customWidth="1"/>
    <col min="38" max="38" width="13.85546875" customWidth="1"/>
    <col min="39" max="39" width="11.42578125" customWidth="1"/>
    <col min="40" max="40" width="14.140625" customWidth="1"/>
    <col min="41" max="41" width="10.42578125" customWidth="1"/>
    <col min="42" max="42" width="3.85546875" customWidth="1"/>
    <col min="43" max="43" width="5.140625" customWidth="1"/>
    <col min="49" max="50" width="5.42578125" customWidth="1"/>
    <col min="56" max="56" width="4.42578125" customWidth="1"/>
    <col min="57" max="57" width="5.42578125" customWidth="1"/>
    <col min="59" max="59" width="17" customWidth="1"/>
    <col min="61" max="61" width="13.28515625" customWidth="1"/>
    <col min="63" max="63" width="4.28515625" customWidth="1"/>
    <col min="64" max="64" width="5.5703125" customWidth="1"/>
    <col min="70" max="70" width="5.140625" customWidth="1"/>
    <col min="71" max="71" width="5.42578125" customWidth="1"/>
    <col min="77" max="77" width="4.42578125" customWidth="1"/>
    <col min="78" max="78" width="5.28515625" customWidth="1"/>
    <col min="84" max="84" width="4.42578125" customWidth="1"/>
    <col min="85" max="85" width="5" customWidth="1"/>
  </cols>
  <sheetData>
    <row r="1" spans="1:90" ht="39" customHeight="1" x14ac:dyDescent="0.35">
      <c r="A1" s="187" t="s">
        <v>38</v>
      </c>
      <c r="B1" s="187"/>
      <c r="C1" s="187"/>
      <c r="D1" s="187"/>
      <c r="E1" s="187"/>
      <c r="F1" s="187"/>
      <c r="H1" s="187" t="s">
        <v>39</v>
      </c>
      <c r="I1" s="187"/>
      <c r="J1" s="187"/>
      <c r="K1" s="187"/>
      <c r="L1" s="187"/>
      <c r="M1" s="187"/>
      <c r="O1" s="187" t="s">
        <v>36</v>
      </c>
      <c r="P1" s="187"/>
      <c r="Q1" s="187"/>
      <c r="R1" s="187"/>
      <c r="S1" s="187"/>
      <c r="T1" s="187"/>
      <c r="V1" s="187" t="s">
        <v>37</v>
      </c>
      <c r="W1" s="187"/>
      <c r="X1" s="187"/>
      <c r="Y1" s="187"/>
      <c r="Z1" s="187"/>
      <c r="AA1" s="187"/>
      <c r="AC1" s="187" t="s">
        <v>40</v>
      </c>
      <c r="AD1" s="187"/>
      <c r="AE1" s="187"/>
      <c r="AF1" s="187"/>
      <c r="AG1" s="187"/>
      <c r="AH1" s="187"/>
      <c r="AJ1" s="187" t="s">
        <v>109</v>
      </c>
      <c r="AK1" s="187"/>
      <c r="AL1" s="187"/>
      <c r="AM1" s="187"/>
      <c r="AN1" s="187"/>
      <c r="AO1" s="187"/>
      <c r="AQ1" s="187" t="s">
        <v>112</v>
      </c>
      <c r="AR1" s="187"/>
      <c r="AS1" s="187"/>
      <c r="AT1" s="187"/>
      <c r="AU1" s="187"/>
      <c r="AV1" s="187"/>
      <c r="AX1" s="187" t="s">
        <v>139</v>
      </c>
      <c r="AY1" s="187"/>
      <c r="AZ1" s="187"/>
      <c r="BA1" s="187"/>
      <c r="BB1" s="187"/>
      <c r="BC1" s="187"/>
      <c r="BE1" s="187" t="s">
        <v>140</v>
      </c>
      <c r="BF1" s="187"/>
      <c r="BG1" s="187"/>
      <c r="BH1" s="187"/>
      <c r="BI1" s="187"/>
      <c r="BJ1" s="187"/>
      <c r="BL1" s="187" t="s">
        <v>161</v>
      </c>
      <c r="BM1" s="187"/>
      <c r="BN1" s="187"/>
      <c r="BO1" s="187"/>
      <c r="BP1" s="187"/>
      <c r="BQ1" s="187"/>
      <c r="BS1" s="204" t="s">
        <v>33</v>
      </c>
      <c r="BT1" s="204"/>
      <c r="BU1" s="204"/>
      <c r="BV1" s="204"/>
      <c r="BW1" s="204"/>
      <c r="BX1" s="204"/>
      <c r="BZ1" s="204" t="s">
        <v>34</v>
      </c>
      <c r="CA1" s="204"/>
      <c r="CB1" s="204"/>
      <c r="CC1" s="204"/>
      <c r="CD1" s="204"/>
      <c r="CE1" s="204"/>
      <c r="CG1" s="204" t="s">
        <v>35</v>
      </c>
      <c r="CH1" s="204"/>
      <c r="CI1" s="204"/>
      <c r="CJ1" s="204"/>
      <c r="CK1" s="204"/>
      <c r="CL1" s="204"/>
    </row>
    <row r="2" spans="1:90" ht="30" x14ac:dyDescent="0.25">
      <c r="A2" s="15" t="s">
        <v>2</v>
      </c>
      <c r="B2" s="16" t="s">
        <v>1</v>
      </c>
      <c r="C2" s="17" t="s">
        <v>4</v>
      </c>
      <c r="D2" s="18" t="s">
        <v>7</v>
      </c>
      <c r="E2" s="20" t="s">
        <v>8</v>
      </c>
      <c r="F2" s="19" t="s">
        <v>5</v>
      </c>
      <c r="H2" s="15" t="s">
        <v>2</v>
      </c>
      <c r="I2" s="16" t="s">
        <v>1</v>
      </c>
      <c r="J2" s="17" t="s">
        <v>4</v>
      </c>
      <c r="K2" s="18" t="s">
        <v>7</v>
      </c>
      <c r="L2" s="20" t="s">
        <v>8</v>
      </c>
      <c r="M2" s="19" t="s">
        <v>5</v>
      </c>
      <c r="O2" s="15" t="s">
        <v>2</v>
      </c>
      <c r="P2" s="16" t="s">
        <v>1</v>
      </c>
      <c r="Q2" s="17" t="s">
        <v>4</v>
      </c>
      <c r="R2" s="18" t="s">
        <v>7</v>
      </c>
      <c r="S2" s="20" t="s">
        <v>8</v>
      </c>
      <c r="T2" s="19" t="s">
        <v>5</v>
      </c>
      <c r="V2" s="15" t="s">
        <v>2</v>
      </c>
      <c r="W2" s="16" t="s">
        <v>1</v>
      </c>
      <c r="X2" s="17" t="s">
        <v>4</v>
      </c>
      <c r="Y2" s="18" t="s">
        <v>7</v>
      </c>
      <c r="Z2" s="20" t="s">
        <v>8</v>
      </c>
      <c r="AA2" s="19" t="s">
        <v>5</v>
      </c>
      <c r="AC2" s="15" t="s">
        <v>2</v>
      </c>
      <c r="AD2" s="16" t="s">
        <v>1</v>
      </c>
      <c r="AE2" s="17" t="s">
        <v>4</v>
      </c>
      <c r="AF2" s="18" t="s">
        <v>7</v>
      </c>
      <c r="AG2" s="20" t="s">
        <v>8</v>
      </c>
      <c r="AH2" s="19" t="s">
        <v>5</v>
      </c>
      <c r="AJ2" s="15" t="s">
        <v>2</v>
      </c>
      <c r="AK2" s="16" t="s">
        <v>1</v>
      </c>
      <c r="AL2" s="17" t="s">
        <v>4</v>
      </c>
      <c r="AM2" s="18" t="s">
        <v>7</v>
      </c>
      <c r="AN2" s="20" t="s">
        <v>8</v>
      </c>
      <c r="AO2" s="19" t="s">
        <v>5</v>
      </c>
      <c r="AQ2" s="15" t="s">
        <v>2</v>
      </c>
      <c r="AR2" s="16" t="s">
        <v>1</v>
      </c>
      <c r="AS2" s="17" t="s">
        <v>4</v>
      </c>
      <c r="AT2" s="18" t="s">
        <v>7</v>
      </c>
      <c r="AU2" s="20" t="s">
        <v>8</v>
      </c>
      <c r="AV2" s="19" t="s">
        <v>5</v>
      </c>
      <c r="AX2" s="15" t="s">
        <v>2</v>
      </c>
      <c r="AY2" s="16" t="s">
        <v>1</v>
      </c>
      <c r="AZ2" s="17" t="s">
        <v>4</v>
      </c>
      <c r="BA2" s="18" t="s">
        <v>7</v>
      </c>
      <c r="BB2" s="20" t="s">
        <v>8</v>
      </c>
      <c r="BC2" s="19" t="s">
        <v>5</v>
      </c>
      <c r="BE2" s="15" t="s">
        <v>2</v>
      </c>
      <c r="BF2" s="16" t="s">
        <v>1</v>
      </c>
      <c r="BG2" s="17" t="s">
        <v>4</v>
      </c>
      <c r="BH2" s="18" t="s">
        <v>7</v>
      </c>
      <c r="BI2" s="20" t="s">
        <v>8</v>
      </c>
      <c r="BJ2" s="19" t="s">
        <v>5</v>
      </c>
      <c r="BL2" s="15" t="s">
        <v>2</v>
      </c>
      <c r="BM2" s="16" t="s">
        <v>1</v>
      </c>
      <c r="BN2" s="17" t="s">
        <v>4</v>
      </c>
      <c r="BO2" s="18" t="s">
        <v>7</v>
      </c>
      <c r="BP2" s="20" t="s">
        <v>8</v>
      </c>
      <c r="BQ2" s="19" t="s">
        <v>5</v>
      </c>
      <c r="BS2" s="15" t="s">
        <v>2</v>
      </c>
      <c r="BT2" s="16" t="s">
        <v>1</v>
      </c>
      <c r="BU2" s="17" t="s">
        <v>4</v>
      </c>
      <c r="BV2" s="18" t="s">
        <v>7</v>
      </c>
      <c r="BW2" s="20" t="s">
        <v>8</v>
      </c>
      <c r="BX2" s="19" t="s">
        <v>5</v>
      </c>
      <c r="BZ2" s="15" t="s">
        <v>2</v>
      </c>
      <c r="CA2" s="16" t="s">
        <v>1</v>
      </c>
      <c r="CB2" s="17" t="s">
        <v>4</v>
      </c>
      <c r="CC2" s="18" t="s">
        <v>7</v>
      </c>
      <c r="CD2" s="20" t="s">
        <v>8</v>
      </c>
      <c r="CE2" s="19" t="s">
        <v>5</v>
      </c>
      <c r="CG2" s="15" t="s">
        <v>2</v>
      </c>
      <c r="CH2" s="16" t="s">
        <v>1</v>
      </c>
      <c r="CI2" s="17" t="s">
        <v>4</v>
      </c>
      <c r="CJ2" s="18" t="s">
        <v>7</v>
      </c>
      <c r="CK2" s="20" t="s">
        <v>8</v>
      </c>
      <c r="CL2" s="19" t="s">
        <v>5</v>
      </c>
    </row>
    <row r="3" spans="1:90" x14ac:dyDescent="0.25">
      <c r="A3" s="7">
        <v>1</v>
      </c>
      <c r="B3" s="13"/>
      <c r="C3" s="10"/>
      <c r="D3" s="11"/>
      <c r="E3" s="10"/>
      <c r="F3" s="12">
        <v>0</v>
      </c>
      <c r="H3" s="7">
        <v>1</v>
      </c>
      <c r="I3" s="13"/>
      <c r="J3" s="10"/>
      <c r="K3" s="11"/>
      <c r="L3" s="10"/>
      <c r="M3" s="12"/>
      <c r="O3" s="7">
        <v>1</v>
      </c>
      <c r="P3" s="13">
        <v>46149</v>
      </c>
      <c r="Q3" s="10"/>
      <c r="R3" s="10"/>
      <c r="S3" s="10"/>
      <c r="T3" s="12">
        <v>174</v>
      </c>
      <c r="V3" s="7">
        <v>1</v>
      </c>
      <c r="W3" s="13">
        <v>46160</v>
      </c>
      <c r="X3" s="10">
        <v>5601.92</v>
      </c>
      <c r="Y3" s="11">
        <v>700.24</v>
      </c>
      <c r="Z3" s="10">
        <f>+X3/Y3</f>
        <v>8</v>
      </c>
      <c r="AA3" s="12"/>
      <c r="AC3" s="7">
        <v>1</v>
      </c>
      <c r="AD3" s="13"/>
      <c r="AE3" s="10"/>
      <c r="AF3" s="11"/>
      <c r="AG3" s="10"/>
      <c r="AH3" s="12"/>
      <c r="AJ3" s="7">
        <v>1</v>
      </c>
      <c r="AK3" s="13">
        <v>46149</v>
      </c>
      <c r="AL3" s="10">
        <v>69895.8</v>
      </c>
      <c r="AM3" s="11">
        <v>652.5</v>
      </c>
      <c r="AN3" s="10">
        <f>+AL3/AM3</f>
        <v>107.12</v>
      </c>
      <c r="AO3" s="12"/>
      <c r="AQ3" s="7">
        <v>1</v>
      </c>
      <c r="AR3" s="13"/>
      <c r="AS3" s="10"/>
      <c r="AT3" s="11"/>
      <c r="AU3" s="10"/>
      <c r="AV3" s="12"/>
      <c r="AX3" s="7">
        <v>1</v>
      </c>
      <c r="AY3" s="13"/>
      <c r="AZ3" s="10"/>
      <c r="BA3" s="11"/>
      <c r="BB3" s="10"/>
      <c r="BC3" s="12"/>
      <c r="BE3" s="7">
        <v>1</v>
      </c>
      <c r="BF3" s="13">
        <v>46155</v>
      </c>
      <c r="BG3" s="10">
        <v>109340.72</v>
      </c>
      <c r="BH3" s="11">
        <v>660.27</v>
      </c>
      <c r="BI3" s="10">
        <f>+BG3/BH3</f>
        <v>165.60001211625547</v>
      </c>
      <c r="BJ3" s="12"/>
      <c r="BL3" s="7">
        <v>1</v>
      </c>
      <c r="BM3" s="13">
        <v>46167</v>
      </c>
      <c r="BN3" s="10"/>
      <c r="BO3" s="11"/>
      <c r="BP3" s="10"/>
      <c r="BQ3" s="12">
        <v>148.5</v>
      </c>
      <c r="BS3" s="7">
        <v>1</v>
      </c>
      <c r="BT3" s="13"/>
      <c r="BU3" s="10"/>
      <c r="BV3" s="11"/>
      <c r="BW3" s="10"/>
      <c r="BX3" s="12"/>
      <c r="BZ3" s="7">
        <v>1</v>
      </c>
      <c r="CA3" s="13"/>
      <c r="CB3" s="10"/>
      <c r="CC3" s="11"/>
      <c r="CD3" s="10"/>
      <c r="CE3" s="12"/>
      <c r="CG3" s="7">
        <v>1</v>
      </c>
      <c r="CH3" s="13"/>
      <c r="CI3" s="10"/>
      <c r="CJ3" s="11"/>
      <c r="CK3" s="10"/>
      <c r="CL3" s="12"/>
    </row>
    <row r="4" spans="1:90" x14ac:dyDescent="0.25">
      <c r="A4" s="7">
        <v>2</v>
      </c>
      <c r="B4" s="13"/>
      <c r="C4" s="10"/>
      <c r="D4" s="10"/>
      <c r="E4" s="10"/>
      <c r="F4" s="12"/>
      <c r="H4" s="7">
        <v>2</v>
      </c>
      <c r="I4" s="13"/>
      <c r="J4" s="10"/>
      <c r="K4" s="10"/>
      <c r="L4" s="10"/>
      <c r="M4" s="12"/>
      <c r="O4" s="7">
        <v>2</v>
      </c>
      <c r="P4" s="13">
        <v>46157</v>
      </c>
      <c r="Q4" s="10"/>
      <c r="R4" s="10"/>
      <c r="S4" s="10"/>
      <c r="T4" s="12">
        <v>160</v>
      </c>
      <c r="V4" s="7">
        <v>2</v>
      </c>
      <c r="W4" s="13"/>
      <c r="X4" s="10"/>
      <c r="Y4" s="10"/>
      <c r="Z4" s="10"/>
      <c r="AA4" s="12"/>
      <c r="AC4" s="7">
        <v>2</v>
      </c>
      <c r="AD4" s="13"/>
      <c r="AE4" s="10"/>
      <c r="AF4" s="10"/>
      <c r="AG4" s="10"/>
      <c r="AH4" s="12"/>
      <c r="AJ4" s="7">
        <v>2</v>
      </c>
      <c r="AK4" s="13"/>
      <c r="AL4" s="10"/>
      <c r="AM4" s="10"/>
      <c r="AN4" s="10"/>
      <c r="AO4" s="12"/>
      <c r="AQ4" s="7">
        <v>2</v>
      </c>
      <c r="AR4" s="13"/>
      <c r="AS4" s="10"/>
      <c r="AT4" s="10"/>
      <c r="AU4" s="10"/>
      <c r="AV4" s="12"/>
      <c r="AX4" s="7">
        <v>2</v>
      </c>
      <c r="AY4" s="13"/>
      <c r="AZ4" s="10"/>
      <c r="BA4" s="10"/>
      <c r="BB4" s="10"/>
      <c r="BC4" s="12"/>
      <c r="BE4" s="7">
        <v>2</v>
      </c>
      <c r="BF4" s="13">
        <v>46155</v>
      </c>
      <c r="BG4" s="112">
        <f>+BH4*BI4</f>
        <v>12148.967999999999</v>
      </c>
      <c r="BH4" s="10">
        <v>660.27</v>
      </c>
      <c r="BI4" s="10">
        <v>18.399999999999999</v>
      </c>
      <c r="BJ4" s="12"/>
      <c r="BL4" s="7">
        <v>2</v>
      </c>
      <c r="BM4" s="13">
        <v>46167</v>
      </c>
      <c r="BN4" s="10"/>
      <c r="BO4" s="10"/>
      <c r="BP4" s="10"/>
      <c r="BQ4" s="12">
        <v>84.5</v>
      </c>
      <c r="BS4" s="7">
        <v>2</v>
      </c>
      <c r="BT4" s="13"/>
      <c r="BU4" s="10"/>
      <c r="BV4" s="10"/>
      <c r="BW4" s="10"/>
      <c r="BX4" s="12"/>
      <c r="BZ4" s="7">
        <v>2</v>
      </c>
      <c r="CA4" s="13"/>
      <c r="CB4" s="10"/>
      <c r="CC4" s="10"/>
      <c r="CD4" s="10"/>
      <c r="CE4" s="12"/>
      <c r="CG4" s="7">
        <v>2</v>
      </c>
      <c r="CH4" s="13"/>
      <c r="CI4" s="10"/>
      <c r="CJ4" s="10"/>
      <c r="CK4" s="10"/>
      <c r="CL4" s="12"/>
    </row>
    <row r="5" spans="1:90" x14ac:dyDescent="0.25">
      <c r="A5" s="7">
        <v>3</v>
      </c>
      <c r="B5" s="13"/>
      <c r="C5" s="10"/>
      <c r="D5" s="10"/>
      <c r="E5" s="10"/>
      <c r="F5" s="12"/>
      <c r="H5" s="7">
        <v>3</v>
      </c>
      <c r="I5" s="13"/>
      <c r="J5" s="10"/>
      <c r="K5" s="10"/>
      <c r="L5" s="10"/>
      <c r="M5" s="12"/>
      <c r="O5" s="7">
        <v>3</v>
      </c>
      <c r="P5" s="13">
        <v>46165</v>
      </c>
      <c r="Q5" s="10"/>
      <c r="R5" s="10"/>
      <c r="S5" s="10"/>
      <c r="T5" s="12">
        <v>600</v>
      </c>
      <c r="V5" s="7">
        <v>3</v>
      </c>
      <c r="W5" s="13"/>
      <c r="X5" s="10"/>
      <c r="Y5" s="10"/>
      <c r="Z5" s="10"/>
      <c r="AA5" s="12"/>
      <c r="AC5" s="7">
        <v>3</v>
      </c>
      <c r="AD5" s="13"/>
      <c r="AE5" s="10"/>
      <c r="AF5" s="10"/>
      <c r="AG5" s="10"/>
      <c r="AH5" s="12">
        <v>0</v>
      </c>
      <c r="AJ5" s="7">
        <v>3</v>
      </c>
      <c r="AK5" s="13"/>
      <c r="AL5" s="10"/>
      <c r="AM5" s="10"/>
      <c r="AN5" s="10"/>
      <c r="AO5" s="12"/>
      <c r="AQ5" s="7">
        <v>3</v>
      </c>
      <c r="AR5" s="13"/>
      <c r="AS5" s="10"/>
      <c r="AT5" s="10"/>
      <c r="AU5" s="10"/>
      <c r="AV5" s="12"/>
      <c r="AX5" s="7">
        <v>3</v>
      </c>
      <c r="AY5" s="13"/>
      <c r="AZ5" s="10"/>
      <c r="BA5" s="10"/>
      <c r="BB5" s="10"/>
      <c r="BC5" s="12"/>
      <c r="BE5" s="7">
        <v>3</v>
      </c>
      <c r="BF5" s="13">
        <v>46165</v>
      </c>
      <c r="BG5" s="10">
        <v>33486</v>
      </c>
      <c r="BH5" s="10">
        <v>715.5</v>
      </c>
      <c r="BI5" s="10">
        <f>+BG5/BH5</f>
        <v>46.80083857442348</v>
      </c>
      <c r="BJ5" s="12"/>
      <c r="BL5" s="7">
        <v>3</v>
      </c>
      <c r="BM5" s="13"/>
      <c r="BN5" s="10"/>
      <c r="BO5" s="10"/>
      <c r="BP5" s="10"/>
      <c r="BQ5" s="12"/>
      <c r="BS5" s="7">
        <v>3</v>
      </c>
      <c r="BT5" s="13"/>
      <c r="BU5" s="10"/>
      <c r="BV5" s="10"/>
      <c r="BW5" s="10"/>
      <c r="BX5" s="12"/>
      <c r="BZ5" s="7">
        <v>3</v>
      </c>
      <c r="CA5" s="13"/>
      <c r="CB5" s="10"/>
      <c r="CC5" s="10"/>
      <c r="CD5" s="10"/>
      <c r="CE5" s="12"/>
      <c r="CG5" s="7">
        <v>3</v>
      </c>
      <c r="CH5" s="13"/>
      <c r="CI5" s="10"/>
      <c r="CJ5" s="10"/>
      <c r="CK5" s="10"/>
      <c r="CL5" s="12"/>
    </row>
    <row r="6" spans="1:90" x14ac:dyDescent="0.25">
      <c r="A6" s="7">
        <v>4</v>
      </c>
      <c r="B6" s="13"/>
      <c r="C6" s="10"/>
      <c r="D6" s="10"/>
      <c r="E6" s="10"/>
      <c r="F6" s="12"/>
      <c r="H6" s="7">
        <v>4</v>
      </c>
      <c r="I6" s="13"/>
      <c r="J6" s="10"/>
      <c r="K6" s="10"/>
      <c r="L6" s="10"/>
      <c r="M6" s="12"/>
      <c r="O6" s="7">
        <v>4</v>
      </c>
      <c r="P6" s="13"/>
      <c r="Q6" s="10"/>
      <c r="R6" s="10"/>
      <c r="S6" s="10"/>
      <c r="T6" s="12"/>
      <c r="V6" s="7">
        <v>4</v>
      </c>
      <c r="W6" s="13"/>
      <c r="X6" s="10"/>
      <c r="Y6" s="10"/>
      <c r="Z6" s="10"/>
      <c r="AA6" s="12"/>
      <c r="AC6" s="7">
        <v>4</v>
      </c>
      <c r="AD6" s="13"/>
      <c r="AE6" s="10"/>
      <c r="AF6" s="10"/>
      <c r="AG6" s="10"/>
      <c r="AH6" s="12"/>
      <c r="AJ6" s="7">
        <v>4</v>
      </c>
      <c r="AK6" s="13"/>
      <c r="AL6" s="10"/>
      <c r="AM6" s="10"/>
      <c r="AN6" s="10"/>
      <c r="AO6" s="12"/>
      <c r="AQ6" s="7">
        <v>4</v>
      </c>
      <c r="AR6" s="13"/>
      <c r="AS6" s="10"/>
      <c r="AT6" s="10"/>
      <c r="AU6" s="10"/>
      <c r="AV6" s="12"/>
      <c r="AX6" s="7">
        <v>4</v>
      </c>
      <c r="AY6" s="13"/>
      <c r="AZ6" s="10"/>
      <c r="BA6" s="10"/>
      <c r="BB6" s="10"/>
      <c r="BC6" s="12"/>
      <c r="BE6" s="7">
        <v>4</v>
      </c>
      <c r="BF6" s="13">
        <v>46167</v>
      </c>
      <c r="BG6" s="10">
        <v>24783.72</v>
      </c>
      <c r="BH6" s="10">
        <v>724.67</v>
      </c>
      <c r="BI6" s="10">
        <f>+BG6/BH6</f>
        <v>34.20000827963073</v>
      </c>
      <c r="BJ6" s="12"/>
      <c r="BL6" s="7">
        <v>4</v>
      </c>
      <c r="BM6" s="13"/>
      <c r="BN6" s="10"/>
      <c r="BO6" s="10"/>
      <c r="BP6" s="10"/>
      <c r="BQ6" s="12"/>
      <c r="BS6" s="7">
        <v>4</v>
      </c>
      <c r="BT6" s="13"/>
      <c r="BU6" s="10"/>
      <c r="BV6" s="10"/>
      <c r="BW6" s="10"/>
      <c r="BX6" s="12"/>
      <c r="BZ6" s="7">
        <v>4</v>
      </c>
      <c r="CA6" s="13"/>
      <c r="CB6" s="10"/>
      <c r="CC6" s="10"/>
      <c r="CD6" s="10"/>
      <c r="CE6" s="12"/>
      <c r="CG6" s="7">
        <v>4</v>
      </c>
      <c r="CH6" s="13"/>
      <c r="CI6" s="10"/>
      <c r="CJ6" s="10"/>
      <c r="CK6" s="10"/>
      <c r="CL6" s="12"/>
    </row>
    <row r="7" spans="1:90" x14ac:dyDescent="0.25">
      <c r="A7" s="7">
        <v>5</v>
      </c>
      <c r="B7" s="13"/>
      <c r="C7" s="10"/>
      <c r="D7" s="10"/>
      <c r="E7" s="10"/>
      <c r="F7" s="12"/>
      <c r="H7" s="7">
        <v>5</v>
      </c>
      <c r="I7" s="13"/>
      <c r="J7" s="10"/>
      <c r="K7" s="10"/>
      <c r="L7" s="10"/>
      <c r="M7" s="12"/>
      <c r="O7" s="7">
        <v>5</v>
      </c>
      <c r="P7" s="13"/>
      <c r="Q7" s="10"/>
      <c r="R7" s="10"/>
      <c r="S7" s="10"/>
      <c r="T7" s="12"/>
      <c r="V7" s="7">
        <v>5</v>
      </c>
      <c r="W7" s="13"/>
      <c r="X7" s="10"/>
      <c r="Y7" s="10"/>
      <c r="Z7" s="10"/>
      <c r="AA7" s="12"/>
      <c r="AC7" s="7">
        <v>5</v>
      </c>
      <c r="AD7" s="13"/>
      <c r="AE7" s="10"/>
      <c r="AF7" s="10"/>
      <c r="AG7" s="10"/>
      <c r="AH7" s="12"/>
      <c r="AJ7" s="7">
        <v>5</v>
      </c>
      <c r="AK7" s="13"/>
      <c r="AL7" s="10"/>
      <c r="AM7" s="10"/>
      <c r="AN7" s="10"/>
      <c r="AO7" s="12"/>
      <c r="AQ7" s="7">
        <v>5</v>
      </c>
      <c r="AR7" s="13"/>
      <c r="AS7" s="10"/>
      <c r="AT7" s="10"/>
      <c r="AU7" s="10"/>
      <c r="AV7" s="12"/>
      <c r="AX7" s="7">
        <v>5</v>
      </c>
      <c r="AY7" s="13"/>
      <c r="AZ7" s="10"/>
      <c r="BA7" s="10"/>
      <c r="BB7" s="10"/>
      <c r="BC7" s="12"/>
      <c r="BE7" s="7">
        <v>5</v>
      </c>
      <c r="BF7" s="13"/>
      <c r="BG7" s="10"/>
      <c r="BH7" s="10"/>
      <c r="BI7" s="10"/>
      <c r="BJ7" s="12"/>
      <c r="BL7" s="7">
        <v>5</v>
      </c>
      <c r="BM7" s="13"/>
      <c r="BN7" s="10"/>
      <c r="BO7" s="10"/>
      <c r="BP7" s="10"/>
      <c r="BQ7" s="12"/>
      <c r="BS7" s="7">
        <v>5</v>
      </c>
      <c r="BT7" s="13"/>
      <c r="BU7" s="10"/>
      <c r="BV7" s="10"/>
      <c r="BW7" s="10"/>
      <c r="BX7" s="12"/>
      <c r="BZ7" s="7">
        <v>5</v>
      </c>
      <c r="CA7" s="13"/>
      <c r="CB7" s="10"/>
      <c r="CC7" s="10"/>
      <c r="CD7" s="10"/>
      <c r="CE7" s="12"/>
      <c r="CG7" s="7">
        <v>5</v>
      </c>
      <c r="CH7" s="13"/>
      <c r="CI7" s="10"/>
      <c r="CJ7" s="10"/>
      <c r="CK7" s="10"/>
      <c r="CL7" s="12"/>
    </row>
    <row r="8" spans="1:90" x14ac:dyDescent="0.25">
      <c r="A8" s="7">
        <v>6</v>
      </c>
      <c r="B8" s="13"/>
      <c r="C8" s="10"/>
      <c r="D8" s="10"/>
      <c r="E8" s="10"/>
      <c r="F8" s="12"/>
      <c r="H8" s="7">
        <v>6</v>
      </c>
      <c r="I8" s="13"/>
      <c r="J8" s="10"/>
      <c r="K8" s="10"/>
      <c r="L8" s="10"/>
      <c r="M8" s="12"/>
      <c r="O8" s="7">
        <v>6</v>
      </c>
      <c r="P8" s="13"/>
      <c r="Q8" s="10"/>
      <c r="R8" s="10"/>
      <c r="S8" s="10"/>
      <c r="T8" s="12"/>
      <c r="V8" s="7">
        <v>6</v>
      </c>
      <c r="W8" s="13"/>
      <c r="X8" s="10"/>
      <c r="Y8" s="10"/>
      <c r="Z8" s="10"/>
      <c r="AA8" s="12"/>
      <c r="AC8" s="7">
        <v>6</v>
      </c>
      <c r="AD8" s="13"/>
      <c r="AE8" s="10"/>
      <c r="AF8" s="10"/>
      <c r="AG8" s="10"/>
      <c r="AH8" s="12"/>
      <c r="AJ8" s="7">
        <v>6</v>
      </c>
      <c r="AK8" s="13"/>
      <c r="AL8" s="10"/>
      <c r="AM8" s="10"/>
      <c r="AN8" s="10"/>
      <c r="AO8" s="12"/>
      <c r="AQ8" s="7">
        <v>6</v>
      </c>
      <c r="AR8" s="13"/>
      <c r="AS8" s="10"/>
      <c r="AT8" s="10"/>
      <c r="AU8" s="10"/>
      <c r="AV8" s="12"/>
      <c r="AX8" s="7">
        <v>6</v>
      </c>
      <c r="AY8" s="13"/>
      <c r="AZ8" s="10"/>
      <c r="BA8" s="10"/>
      <c r="BB8" s="10"/>
      <c r="BC8" s="12"/>
      <c r="BE8" s="7">
        <v>6</v>
      </c>
      <c r="BF8" s="13"/>
      <c r="BG8" s="10"/>
      <c r="BH8" s="10"/>
      <c r="BI8" s="10"/>
      <c r="BJ8" s="12"/>
      <c r="BL8" s="7">
        <v>6</v>
      </c>
      <c r="BM8" s="13"/>
      <c r="BN8" s="10"/>
      <c r="BO8" s="10"/>
      <c r="BP8" s="10"/>
      <c r="BQ8" s="12"/>
      <c r="BS8" s="7">
        <v>6</v>
      </c>
      <c r="BT8" s="13"/>
      <c r="BU8" s="10"/>
      <c r="BV8" s="10"/>
      <c r="BW8" s="10"/>
      <c r="BX8" s="12"/>
      <c r="BZ8" s="7">
        <v>6</v>
      </c>
      <c r="CA8" s="13"/>
      <c r="CB8" s="10"/>
      <c r="CC8" s="10"/>
      <c r="CD8" s="10"/>
      <c r="CE8" s="12"/>
      <c r="CG8" s="7">
        <v>6</v>
      </c>
      <c r="CH8" s="13"/>
      <c r="CI8" s="10"/>
      <c r="CJ8" s="10"/>
      <c r="CK8" s="10"/>
      <c r="CL8" s="12"/>
    </row>
    <row r="9" spans="1:90" x14ac:dyDescent="0.25">
      <c r="A9" s="7">
        <v>7</v>
      </c>
      <c r="B9" s="13"/>
      <c r="C9" s="10"/>
      <c r="D9" s="10"/>
      <c r="E9" s="10"/>
      <c r="F9" s="12"/>
      <c r="H9" s="7">
        <v>7</v>
      </c>
      <c r="I9" s="13"/>
      <c r="J9" s="10"/>
      <c r="K9" s="10"/>
      <c r="L9" s="10"/>
      <c r="M9" s="12"/>
      <c r="O9" s="7">
        <v>7</v>
      </c>
      <c r="P9" s="13"/>
      <c r="Q9" s="10"/>
      <c r="R9" s="10"/>
      <c r="S9" s="10"/>
      <c r="T9" s="12"/>
      <c r="V9" s="7">
        <v>7</v>
      </c>
      <c r="W9" s="13"/>
      <c r="X9" s="10"/>
      <c r="Y9" s="10"/>
      <c r="Z9" s="10"/>
      <c r="AA9" s="12"/>
      <c r="AC9" s="7">
        <v>7</v>
      </c>
      <c r="AD9" s="13"/>
      <c r="AE9" s="10"/>
      <c r="AF9" s="10"/>
      <c r="AG9" s="10"/>
      <c r="AH9" s="12"/>
      <c r="AJ9" s="7">
        <v>7</v>
      </c>
      <c r="AK9" s="13"/>
      <c r="AL9" s="10"/>
      <c r="AM9" s="10"/>
      <c r="AN9" s="10"/>
      <c r="AO9" s="12"/>
      <c r="AQ9" s="7">
        <v>7</v>
      </c>
      <c r="AR9" s="13"/>
      <c r="AS9" s="10"/>
      <c r="AT9" s="10"/>
      <c r="AU9" s="10"/>
      <c r="AV9" s="12"/>
      <c r="AX9" s="7">
        <v>7</v>
      </c>
      <c r="AY9" s="13"/>
      <c r="AZ9" s="10"/>
      <c r="BA9" s="10"/>
      <c r="BB9" s="10"/>
      <c r="BC9" s="12"/>
      <c r="BE9" s="7">
        <v>7</v>
      </c>
      <c r="BF9" s="13"/>
      <c r="BG9" s="10"/>
      <c r="BH9" s="10"/>
      <c r="BI9" s="10"/>
      <c r="BJ9" s="12"/>
      <c r="BL9" s="7">
        <v>7</v>
      </c>
      <c r="BM9" s="13"/>
      <c r="BN9" s="10"/>
      <c r="BO9" s="10"/>
      <c r="BP9" s="10"/>
      <c r="BQ9" s="12"/>
      <c r="BS9" s="7">
        <v>7</v>
      </c>
      <c r="BT9" s="13"/>
      <c r="BU9" s="10"/>
      <c r="BV9" s="10"/>
      <c r="BW9" s="10"/>
      <c r="BX9" s="12"/>
      <c r="BZ9" s="7">
        <v>7</v>
      </c>
      <c r="CA9" s="13"/>
      <c r="CB9" s="10"/>
      <c r="CC9" s="10"/>
      <c r="CD9" s="10"/>
      <c r="CE9" s="12"/>
      <c r="CG9" s="7">
        <v>7</v>
      </c>
      <c r="CH9" s="13"/>
      <c r="CI9" s="10"/>
      <c r="CJ9" s="10"/>
      <c r="CK9" s="10"/>
      <c r="CL9" s="12"/>
    </row>
    <row r="10" spans="1:90" x14ac:dyDescent="0.25">
      <c r="A10" s="7">
        <v>8</v>
      </c>
      <c r="B10" s="13"/>
      <c r="C10" s="10"/>
      <c r="D10" s="10"/>
      <c r="E10" s="10"/>
      <c r="F10" s="12"/>
      <c r="H10" s="7">
        <v>8</v>
      </c>
      <c r="I10" s="13"/>
      <c r="J10" s="10"/>
      <c r="K10" s="10"/>
      <c r="L10" s="10"/>
      <c r="M10" s="12"/>
      <c r="O10" s="7">
        <v>8</v>
      </c>
      <c r="P10" s="13"/>
      <c r="Q10" s="10"/>
      <c r="R10" s="10"/>
      <c r="S10" s="10"/>
      <c r="T10" s="12"/>
      <c r="V10" s="7">
        <v>8</v>
      </c>
      <c r="W10" s="13"/>
      <c r="X10" s="10"/>
      <c r="Y10" s="10"/>
      <c r="Z10" s="10"/>
      <c r="AA10" s="12">
        <v>0</v>
      </c>
      <c r="AC10" s="7">
        <v>8</v>
      </c>
      <c r="AD10" s="13"/>
      <c r="AE10" s="10"/>
      <c r="AF10" s="10"/>
      <c r="AG10" s="10"/>
      <c r="AH10" s="12"/>
      <c r="AJ10" s="7">
        <v>8</v>
      </c>
      <c r="AK10" s="13"/>
      <c r="AL10" s="10"/>
      <c r="AM10" s="10"/>
      <c r="AN10" s="10"/>
      <c r="AO10" s="12"/>
      <c r="AQ10" s="7">
        <v>8</v>
      </c>
      <c r="AR10" s="13"/>
      <c r="AS10" s="10"/>
      <c r="AT10" s="10"/>
      <c r="AU10" s="10"/>
      <c r="AV10" s="12"/>
      <c r="AX10" s="7">
        <v>8</v>
      </c>
      <c r="AY10" s="13"/>
      <c r="AZ10" s="10"/>
      <c r="BA10" s="10"/>
      <c r="BB10" s="10"/>
      <c r="BC10" s="12"/>
      <c r="BE10" s="7">
        <v>8</v>
      </c>
      <c r="BF10" s="13"/>
      <c r="BG10" s="10"/>
      <c r="BH10" s="10"/>
      <c r="BI10" s="10"/>
      <c r="BJ10" s="12"/>
      <c r="BL10" s="7">
        <v>8</v>
      </c>
      <c r="BM10" s="13"/>
      <c r="BN10" s="10"/>
      <c r="BO10" s="10"/>
      <c r="BP10" s="10"/>
      <c r="BQ10" s="12"/>
      <c r="BS10" s="7">
        <v>8</v>
      </c>
      <c r="BT10" s="13"/>
      <c r="BU10" s="10"/>
      <c r="BV10" s="10"/>
      <c r="BW10" s="10"/>
      <c r="BX10" s="12"/>
      <c r="BZ10" s="7">
        <v>8</v>
      </c>
      <c r="CA10" s="13"/>
      <c r="CB10" s="10"/>
      <c r="CC10" s="10"/>
      <c r="CD10" s="10"/>
      <c r="CE10" s="12"/>
      <c r="CG10" s="7">
        <v>8</v>
      </c>
      <c r="CH10" s="13"/>
      <c r="CI10" s="10"/>
      <c r="CJ10" s="10"/>
      <c r="CK10" s="10"/>
      <c r="CL10" s="12"/>
    </row>
    <row r="11" spans="1:90" x14ac:dyDescent="0.25">
      <c r="A11" s="7">
        <v>9</v>
      </c>
      <c r="B11" s="13"/>
      <c r="C11" s="10"/>
      <c r="D11" s="10"/>
      <c r="E11" s="10"/>
      <c r="F11" s="12"/>
      <c r="H11" s="7">
        <v>9</v>
      </c>
      <c r="I11" s="13"/>
      <c r="J11" s="10"/>
      <c r="K11" s="10"/>
      <c r="L11" s="10"/>
      <c r="M11" s="12"/>
      <c r="O11" s="7">
        <v>9</v>
      </c>
      <c r="P11" s="13"/>
      <c r="Q11" s="10"/>
      <c r="R11" s="10"/>
      <c r="S11" s="10"/>
      <c r="T11" s="12"/>
      <c r="V11" s="7">
        <v>9</v>
      </c>
      <c r="W11" s="13"/>
      <c r="X11" s="10"/>
      <c r="Y11" s="10"/>
      <c r="Z11" s="10"/>
      <c r="AA11" s="12"/>
      <c r="AC11" s="7">
        <v>9</v>
      </c>
      <c r="AD11" s="13"/>
      <c r="AE11" s="10"/>
      <c r="AF11" s="10"/>
      <c r="AG11" s="10"/>
      <c r="AH11" s="12"/>
      <c r="AJ11" s="7">
        <v>9</v>
      </c>
      <c r="AK11" s="13"/>
      <c r="AL11" s="10"/>
      <c r="AM11" s="10"/>
      <c r="AN11" s="10"/>
      <c r="AO11" s="12"/>
      <c r="AQ11" s="7">
        <v>9</v>
      </c>
      <c r="AR11" s="13"/>
      <c r="AS11" s="10"/>
      <c r="AT11" s="10"/>
      <c r="AU11" s="10"/>
      <c r="AV11" s="12"/>
      <c r="AX11" s="7">
        <v>9</v>
      </c>
      <c r="AY11" s="13"/>
      <c r="AZ11" s="10"/>
      <c r="BA11" s="10"/>
      <c r="BB11" s="10"/>
      <c r="BC11" s="12"/>
      <c r="BE11" s="7">
        <v>9</v>
      </c>
      <c r="BF11" s="13"/>
      <c r="BG11" s="10"/>
      <c r="BH11" s="10"/>
      <c r="BI11" s="10"/>
      <c r="BJ11" s="12"/>
      <c r="BL11" s="7">
        <v>9</v>
      </c>
      <c r="BM11" s="13"/>
      <c r="BN11" s="10"/>
      <c r="BO11" s="10"/>
      <c r="BP11" s="10"/>
      <c r="BQ11" s="12"/>
      <c r="BS11" s="7">
        <v>9</v>
      </c>
      <c r="BT11" s="13"/>
      <c r="BU11" s="10"/>
      <c r="BV11" s="10"/>
      <c r="BW11" s="10"/>
      <c r="BX11" s="12"/>
      <c r="BZ11" s="7">
        <v>9</v>
      </c>
      <c r="CA11" s="13"/>
      <c r="CB11" s="10"/>
      <c r="CC11" s="10"/>
      <c r="CD11" s="10"/>
      <c r="CE11" s="12"/>
      <c r="CG11" s="7">
        <v>9</v>
      </c>
      <c r="CH11" s="13"/>
      <c r="CI11" s="10"/>
      <c r="CJ11" s="10"/>
      <c r="CK11" s="10"/>
      <c r="CL11" s="12"/>
    </row>
    <row r="12" spans="1:90" x14ac:dyDescent="0.25">
      <c r="A12" s="7">
        <v>10</v>
      </c>
      <c r="B12" s="13"/>
      <c r="C12" s="10"/>
      <c r="D12" s="10"/>
      <c r="E12" s="10"/>
      <c r="F12" s="12"/>
      <c r="H12" s="7">
        <v>10</v>
      </c>
      <c r="I12" s="13"/>
      <c r="J12" s="10"/>
      <c r="K12" s="10"/>
      <c r="L12" s="10"/>
      <c r="M12" s="12"/>
      <c r="O12" s="7">
        <v>10</v>
      </c>
      <c r="P12" s="13"/>
      <c r="Q12" s="10"/>
      <c r="R12" s="10"/>
      <c r="S12" s="10"/>
      <c r="T12" s="12"/>
      <c r="V12" s="7">
        <v>10</v>
      </c>
      <c r="W12" s="13"/>
      <c r="X12" s="10"/>
      <c r="Y12" s="10"/>
      <c r="Z12" s="10"/>
      <c r="AA12" s="12"/>
      <c r="AC12" s="7">
        <v>10</v>
      </c>
      <c r="AD12" s="13"/>
      <c r="AE12" s="10"/>
      <c r="AF12" s="10"/>
      <c r="AG12" s="10"/>
      <c r="AH12" s="12"/>
      <c r="AJ12" s="7">
        <v>10</v>
      </c>
      <c r="AK12" s="13"/>
      <c r="AL12" s="10"/>
      <c r="AM12" s="10"/>
      <c r="AN12" s="10"/>
      <c r="AO12" s="12"/>
      <c r="AQ12" s="7">
        <v>10</v>
      </c>
      <c r="AR12" s="13"/>
      <c r="AS12" s="10"/>
      <c r="AT12" s="10"/>
      <c r="AU12" s="10"/>
      <c r="AV12" s="12"/>
      <c r="AX12" s="7">
        <v>10</v>
      </c>
      <c r="AY12" s="13"/>
      <c r="AZ12" s="10"/>
      <c r="BA12" s="10"/>
      <c r="BB12" s="10"/>
      <c r="BC12" s="12"/>
      <c r="BE12" s="7">
        <v>10</v>
      </c>
      <c r="BF12" s="13"/>
      <c r="BG12" s="10"/>
      <c r="BH12" s="10"/>
      <c r="BI12" s="10"/>
      <c r="BJ12" s="12"/>
      <c r="BL12" s="7">
        <v>10</v>
      </c>
      <c r="BM12" s="13"/>
      <c r="BN12" s="10"/>
      <c r="BO12" s="10"/>
      <c r="BP12" s="10"/>
      <c r="BQ12" s="12"/>
      <c r="BS12" s="7">
        <v>10</v>
      </c>
      <c r="BT12" s="13"/>
      <c r="BU12" s="10"/>
      <c r="BV12" s="10"/>
      <c r="BW12" s="10"/>
      <c r="BX12" s="12"/>
      <c r="BZ12" s="7">
        <v>10</v>
      </c>
      <c r="CA12" s="13"/>
      <c r="CB12" s="10"/>
      <c r="CC12" s="10"/>
      <c r="CD12" s="10"/>
      <c r="CE12" s="12"/>
      <c r="CG12" s="7">
        <v>10</v>
      </c>
      <c r="CH12" s="13"/>
      <c r="CI12" s="10"/>
      <c r="CJ12" s="10"/>
      <c r="CK12" s="10"/>
      <c r="CL12" s="12"/>
    </row>
    <row r="13" spans="1:90" x14ac:dyDescent="0.25">
      <c r="A13" s="7">
        <v>11</v>
      </c>
      <c r="B13" s="13"/>
      <c r="C13" s="10"/>
      <c r="D13" s="10"/>
      <c r="E13" s="10"/>
      <c r="F13" s="12"/>
      <c r="H13" s="7">
        <v>11</v>
      </c>
      <c r="I13" s="13"/>
      <c r="J13" s="10"/>
      <c r="K13" s="10"/>
      <c r="L13" s="10"/>
      <c r="M13" s="12"/>
      <c r="O13" s="7">
        <v>11</v>
      </c>
      <c r="P13" s="13"/>
      <c r="Q13" s="10"/>
      <c r="R13" s="10"/>
      <c r="S13" s="10"/>
      <c r="T13" s="12"/>
      <c r="V13" s="7">
        <v>11</v>
      </c>
      <c r="W13" s="13"/>
      <c r="X13" s="10"/>
      <c r="Y13" s="10"/>
      <c r="Z13" s="10"/>
      <c r="AA13" s="12"/>
      <c r="AC13" s="7">
        <v>11</v>
      </c>
      <c r="AD13" s="13"/>
      <c r="AE13" s="10"/>
      <c r="AF13" s="10"/>
      <c r="AG13" s="10"/>
      <c r="AH13" s="12"/>
      <c r="AJ13" s="7">
        <v>11</v>
      </c>
      <c r="AK13" s="13"/>
      <c r="AL13" s="10"/>
      <c r="AM13" s="10"/>
      <c r="AN13" s="10"/>
      <c r="AO13" s="12"/>
      <c r="AQ13" s="7">
        <v>11</v>
      </c>
      <c r="AR13" s="13"/>
      <c r="AS13" s="10"/>
      <c r="AT13" s="10"/>
      <c r="AU13" s="10"/>
      <c r="AV13" s="12"/>
      <c r="AX13" s="7">
        <v>11</v>
      </c>
      <c r="AY13" s="13"/>
      <c r="AZ13" s="10"/>
      <c r="BA13" s="10"/>
      <c r="BB13" s="10"/>
      <c r="BC13" s="12"/>
      <c r="BE13" s="7">
        <v>11</v>
      </c>
      <c r="BF13" s="13"/>
      <c r="BG13" s="10"/>
      <c r="BH13" s="10"/>
      <c r="BI13" s="10"/>
      <c r="BJ13" s="12"/>
      <c r="BL13" s="7">
        <v>11</v>
      </c>
      <c r="BM13" s="13"/>
      <c r="BN13" s="10"/>
      <c r="BO13" s="10"/>
      <c r="BP13" s="10"/>
      <c r="BQ13" s="12"/>
      <c r="BS13" s="7">
        <v>11</v>
      </c>
      <c r="BT13" s="13"/>
      <c r="BU13" s="10"/>
      <c r="BV13" s="10"/>
      <c r="BW13" s="10"/>
      <c r="BX13" s="12"/>
      <c r="BZ13" s="7">
        <v>11</v>
      </c>
      <c r="CA13" s="13"/>
      <c r="CB13" s="10"/>
      <c r="CC13" s="10"/>
      <c r="CD13" s="10"/>
      <c r="CE13" s="12"/>
      <c r="CG13" s="7">
        <v>11</v>
      </c>
      <c r="CH13" s="13"/>
      <c r="CI13" s="10"/>
      <c r="CJ13" s="10"/>
      <c r="CK13" s="10"/>
      <c r="CL13" s="12"/>
    </row>
    <row r="14" spans="1:90" x14ac:dyDescent="0.25">
      <c r="A14" s="7">
        <v>12</v>
      </c>
      <c r="B14" s="13"/>
      <c r="C14" s="10"/>
      <c r="D14" s="10"/>
      <c r="E14" s="10"/>
      <c r="F14" s="12"/>
      <c r="H14" s="7">
        <v>12</v>
      </c>
      <c r="I14" s="13"/>
      <c r="J14" s="10"/>
      <c r="K14" s="10"/>
      <c r="L14" s="10"/>
      <c r="M14" s="12"/>
      <c r="O14" s="7">
        <v>12</v>
      </c>
      <c r="P14" s="13"/>
      <c r="Q14" s="10"/>
      <c r="R14" s="10"/>
      <c r="S14" s="10"/>
      <c r="T14" s="12"/>
      <c r="V14" s="7">
        <v>12</v>
      </c>
      <c r="W14" s="13"/>
      <c r="X14" s="10"/>
      <c r="Y14" s="10"/>
      <c r="Z14" s="10"/>
      <c r="AA14" s="12"/>
      <c r="AC14" s="7">
        <v>12</v>
      </c>
      <c r="AD14" s="13"/>
      <c r="AE14" s="10"/>
      <c r="AF14" s="10"/>
      <c r="AG14" s="10"/>
      <c r="AH14" s="12"/>
      <c r="AJ14" s="7">
        <v>12</v>
      </c>
      <c r="AK14" s="13"/>
      <c r="AL14" s="10"/>
      <c r="AM14" s="10"/>
      <c r="AN14" s="10"/>
      <c r="AO14" s="12"/>
      <c r="AQ14" s="7">
        <v>12</v>
      </c>
      <c r="AR14" s="13"/>
      <c r="AS14" s="10"/>
      <c r="AT14" s="10"/>
      <c r="AU14" s="10"/>
      <c r="AV14" s="12"/>
      <c r="AX14" s="7">
        <v>12</v>
      </c>
      <c r="AY14" s="13"/>
      <c r="AZ14" s="10"/>
      <c r="BA14" s="10"/>
      <c r="BB14" s="10"/>
      <c r="BC14" s="12"/>
      <c r="BE14" s="7">
        <v>12</v>
      </c>
      <c r="BF14" s="13"/>
      <c r="BG14" s="10"/>
      <c r="BH14" s="10"/>
      <c r="BI14" s="10"/>
      <c r="BJ14" s="12"/>
      <c r="BL14" s="7">
        <v>12</v>
      </c>
      <c r="BM14" s="13"/>
      <c r="BN14" s="10"/>
      <c r="BO14" s="10"/>
      <c r="BP14" s="10"/>
      <c r="BQ14" s="12"/>
      <c r="BS14" s="7">
        <v>12</v>
      </c>
      <c r="BT14" s="13"/>
      <c r="BU14" s="10"/>
      <c r="BV14" s="10"/>
      <c r="BW14" s="10"/>
      <c r="BX14" s="12"/>
      <c r="BZ14" s="7">
        <v>12</v>
      </c>
      <c r="CA14" s="13"/>
      <c r="CB14" s="10"/>
      <c r="CC14" s="10"/>
      <c r="CD14" s="10"/>
      <c r="CE14" s="12"/>
      <c r="CG14" s="7">
        <v>12</v>
      </c>
      <c r="CH14" s="13"/>
      <c r="CI14" s="10"/>
      <c r="CJ14" s="10"/>
      <c r="CK14" s="10"/>
      <c r="CL14" s="12"/>
    </row>
    <row r="15" spans="1:90" x14ac:dyDescent="0.25">
      <c r="A15" s="7">
        <v>13</v>
      </c>
      <c r="B15" s="13"/>
      <c r="C15" s="10"/>
      <c r="D15" s="10"/>
      <c r="E15" s="10"/>
      <c r="F15" s="12"/>
      <c r="H15" s="7">
        <v>13</v>
      </c>
      <c r="I15" s="13"/>
      <c r="J15" s="10"/>
      <c r="K15" s="10"/>
      <c r="L15" s="10"/>
      <c r="M15" s="12"/>
      <c r="O15" s="7">
        <v>13</v>
      </c>
      <c r="P15" s="13"/>
      <c r="Q15" s="10"/>
      <c r="R15" s="10"/>
      <c r="S15" s="10"/>
      <c r="T15" s="12"/>
      <c r="V15" s="7">
        <v>13</v>
      </c>
      <c r="W15" s="13"/>
      <c r="X15" s="10"/>
      <c r="Y15" s="10"/>
      <c r="Z15" s="10"/>
      <c r="AA15" s="12"/>
      <c r="AC15" s="7">
        <v>13</v>
      </c>
      <c r="AD15" s="13"/>
      <c r="AE15" s="10"/>
      <c r="AF15" s="10"/>
      <c r="AG15" s="10"/>
      <c r="AH15" s="12"/>
      <c r="AJ15" s="7">
        <v>13</v>
      </c>
      <c r="AK15" s="13"/>
      <c r="AL15" s="10"/>
      <c r="AM15" s="10"/>
      <c r="AN15" s="10"/>
      <c r="AO15" s="12"/>
      <c r="AQ15" s="7">
        <v>13</v>
      </c>
      <c r="AR15" s="13"/>
      <c r="AS15" s="10"/>
      <c r="AT15" s="10"/>
      <c r="AU15" s="10"/>
      <c r="AV15" s="12"/>
      <c r="AX15" s="7">
        <v>13</v>
      </c>
      <c r="AY15" s="13"/>
      <c r="AZ15" s="10"/>
      <c r="BA15" s="10"/>
      <c r="BB15" s="10"/>
      <c r="BC15" s="12"/>
      <c r="BE15" s="7">
        <v>13</v>
      </c>
      <c r="BF15" s="13"/>
      <c r="BG15" s="10"/>
      <c r="BH15" s="10"/>
      <c r="BI15" s="10"/>
      <c r="BJ15" s="12"/>
      <c r="BL15" s="7">
        <v>13</v>
      </c>
      <c r="BM15" s="13"/>
      <c r="BN15" s="10"/>
      <c r="BO15" s="10"/>
      <c r="BP15" s="10"/>
      <c r="BQ15" s="12"/>
      <c r="BS15" s="7">
        <v>13</v>
      </c>
      <c r="BT15" s="13"/>
      <c r="BU15" s="10"/>
      <c r="BV15" s="10"/>
      <c r="BW15" s="10"/>
      <c r="BX15" s="12"/>
      <c r="BZ15" s="7">
        <v>13</v>
      </c>
      <c r="CA15" s="13"/>
      <c r="CB15" s="10"/>
      <c r="CC15" s="10"/>
      <c r="CD15" s="10"/>
      <c r="CE15" s="12"/>
      <c r="CG15" s="7">
        <v>13</v>
      </c>
      <c r="CH15" s="13"/>
      <c r="CI15" s="10"/>
      <c r="CJ15" s="10"/>
      <c r="CK15" s="10"/>
      <c r="CL15" s="12"/>
    </row>
    <row r="16" spans="1:90" x14ac:dyDescent="0.25">
      <c r="A16" s="7">
        <v>14</v>
      </c>
      <c r="B16" s="13"/>
      <c r="C16" s="10"/>
      <c r="D16" s="10"/>
      <c r="E16" s="10"/>
      <c r="F16" s="12"/>
      <c r="H16" s="7">
        <v>14</v>
      </c>
      <c r="I16" s="13"/>
      <c r="J16" s="10"/>
      <c r="K16" s="10"/>
      <c r="L16" s="10"/>
      <c r="M16" s="12"/>
      <c r="O16" s="7">
        <v>14</v>
      </c>
      <c r="P16" s="13"/>
      <c r="Q16" s="10"/>
      <c r="R16" s="10"/>
      <c r="S16" s="10"/>
      <c r="T16" s="12"/>
      <c r="V16" s="7">
        <v>14</v>
      </c>
      <c r="W16" s="13"/>
      <c r="X16" s="10"/>
      <c r="Y16" s="10"/>
      <c r="Z16" s="10"/>
      <c r="AA16" s="12"/>
      <c r="AC16" s="7">
        <v>14</v>
      </c>
      <c r="AD16" s="13"/>
      <c r="AE16" s="10"/>
      <c r="AF16" s="10"/>
      <c r="AG16" s="10"/>
      <c r="AH16" s="12"/>
      <c r="AJ16" s="7">
        <v>14</v>
      </c>
      <c r="AK16" s="13"/>
      <c r="AL16" s="10"/>
      <c r="AM16" s="10"/>
      <c r="AN16" s="10"/>
      <c r="AO16" s="12"/>
      <c r="AQ16" s="7">
        <v>14</v>
      </c>
      <c r="AR16" s="13"/>
      <c r="AS16" s="10"/>
      <c r="AT16" s="10"/>
      <c r="AU16" s="10"/>
      <c r="AV16" s="12"/>
      <c r="AX16" s="7">
        <v>14</v>
      </c>
      <c r="AY16" s="13"/>
      <c r="AZ16" s="10"/>
      <c r="BA16" s="10"/>
      <c r="BB16" s="10"/>
      <c r="BC16" s="12"/>
      <c r="BE16" s="7">
        <v>14</v>
      </c>
      <c r="BF16" s="13"/>
      <c r="BG16" s="10"/>
      <c r="BH16" s="10"/>
      <c r="BI16" s="10"/>
      <c r="BJ16" s="12"/>
      <c r="BL16" s="7">
        <v>14</v>
      </c>
      <c r="BM16" s="13"/>
      <c r="BN16" s="10"/>
      <c r="BO16" s="10"/>
      <c r="BP16" s="10"/>
      <c r="BQ16" s="12"/>
      <c r="BS16" s="7">
        <v>14</v>
      </c>
      <c r="BT16" s="13"/>
      <c r="BU16" s="10"/>
      <c r="BV16" s="10"/>
      <c r="BW16" s="10"/>
      <c r="BX16" s="12"/>
      <c r="BZ16" s="7">
        <v>14</v>
      </c>
      <c r="CA16" s="13"/>
      <c r="CB16" s="10"/>
      <c r="CC16" s="10"/>
      <c r="CD16" s="10"/>
      <c r="CE16" s="12"/>
      <c r="CG16" s="7">
        <v>14</v>
      </c>
      <c r="CH16" s="13"/>
      <c r="CI16" s="10"/>
      <c r="CJ16" s="10"/>
      <c r="CK16" s="10"/>
      <c r="CL16" s="12"/>
    </row>
    <row r="17" spans="1:90" x14ac:dyDescent="0.25">
      <c r="A17" s="7">
        <v>15</v>
      </c>
      <c r="B17" s="13"/>
      <c r="C17" s="10"/>
      <c r="D17" s="10"/>
      <c r="E17" s="10"/>
      <c r="F17" s="12"/>
      <c r="H17" s="7">
        <v>15</v>
      </c>
      <c r="I17" s="13"/>
      <c r="J17" s="10"/>
      <c r="K17" s="10"/>
      <c r="L17" s="10"/>
      <c r="M17" s="12"/>
      <c r="O17" s="7">
        <v>15</v>
      </c>
      <c r="P17" s="13"/>
      <c r="Q17" s="10"/>
      <c r="R17" s="10"/>
      <c r="S17" s="10"/>
      <c r="T17" s="12"/>
      <c r="V17" s="7">
        <v>15</v>
      </c>
      <c r="W17" s="13"/>
      <c r="X17" s="10"/>
      <c r="Y17" s="10"/>
      <c r="Z17" s="10"/>
      <c r="AA17" s="12"/>
      <c r="AC17" s="7">
        <v>15</v>
      </c>
      <c r="AD17" s="13"/>
      <c r="AE17" s="10"/>
      <c r="AF17" s="10"/>
      <c r="AG17" s="10"/>
      <c r="AH17" s="12"/>
      <c r="AJ17" s="7">
        <v>15</v>
      </c>
      <c r="AK17" s="13"/>
      <c r="AL17" s="10"/>
      <c r="AM17" s="10"/>
      <c r="AN17" s="10"/>
      <c r="AO17" s="12"/>
      <c r="AQ17" s="7">
        <v>15</v>
      </c>
      <c r="AR17" s="13"/>
      <c r="AS17" s="10"/>
      <c r="AT17" s="10"/>
      <c r="AU17" s="10"/>
      <c r="AV17" s="12"/>
      <c r="AX17" s="7">
        <v>15</v>
      </c>
      <c r="AY17" s="13"/>
      <c r="AZ17" s="10"/>
      <c r="BA17" s="10"/>
      <c r="BB17" s="10"/>
      <c r="BC17" s="12"/>
      <c r="BE17" s="7">
        <v>15</v>
      </c>
      <c r="BF17" s="13"/>
      <c r="BG17" s="10"/>
      <c r="BH17" s="10"/>
      <c r="BI17" s="10"/>
      <c r="BJ17" s="12"/>
      <c r="BL17" s="7">
        <v>15</v>
      </c>
      <c r="BM17" s="13"/>
      <c r="BN17" s="10"/>
      <c r="BO17" s="10"/>
      <c r="BP17" s="10"/>
      <c r="BQ17" s="12"/>
      <c r="BS17" s="7">
        <v>15</v>
      </c>
      <c r="BT17" s="13"/>
      <c r="BU17" s="10"/>
      <c r="BV17" s="10"/>
      <c r="BW17" s="10"/>
      <c r="BX17" s="12"/>
      <c r="BZ17" s="7">
        <v>15</v>
      </c>
      <c r="CA17" s="13"/>
      <c r="CB17" s="10"/>
      <c r="CC17" s="10"/>
      <c r="CD17" s="10"/>
      <c r="CE17" s="12"/>
      <c r="CG17" s="7">
        <v>15</v>
      </c>
      <c r="CH17" s="13"/>
      <c r="CI17" s="10"/>
      <c r="CJ17" s="10"/>
      <c r="CK17" s="10"/>
      <c r="CL17" s="12"/>
    </row>
    <row r="18" spans="1:90" x14ac:dyDescent="0.25">
      <c r="A18" s="7">
        <v>16</v>
      </c>
      <c r="B18" s="13"/>
      <c r="C18" s="10"/>
      <c r="D18" s="10"/>
      <c r="E18" s="10"/>
      <c r="F18" s="12"/>
      <c r="H18" s="7">
        <v>16</v>
      </c>
      <c r="I18" s="13"/>
      <c r="J18" s="10"/>
      <c r="K18" s="10"/>
      <c r="L18" s="10"/>
      <c r="M18" s="12"/>
      <c r="O18" s="7">
        <v>16</v>
      </c>
      <c r="P18" s="13"/>
      <c r="Q18" s="10"/>
      <c r="R18" s="10"/>
      <c r="S18" s="10"/>
      <c r="T18" s="12"/>
      <c r="V18" s="7">
        <v>16</v>
      </c>
      <c r="W18" s="13"/>
      <c r="X18" s="10"/>
      <c r="Y18" s="10"/>
      <c r="Z18" s="10"/>
      <c r="AA18" s="12"/>
      <c r="AC18" s="7">
        <v>16</v>
      </c>
      <c r="AD18" s="13"/>
      <c r="AE18" s="10"/>
      <c r="AF18" s="10"/>
      <c r="AG18" s="10"/>
      <c r="AH18" s="12"/>
      <c r="AJ18" s="7">
        <v>16</v>
      </c>
      <c r="AK18" s="13"/>
      <c r="AL18" s="10"/>
      <c r="AM18" s="10"/>
      <c r="AN18" s="10"/>
      <c r="AO18" s="12"/>
      <c r="AQ18" s="7">
        <v>16</v>
      </c>
      <c r="AR18" s="13"/>
      <c r="AS18" s="10"/>
      <c r="AT18" s="10"/>
      <c r="AU18" s="10"/>
      <c r="AV18" s="12"/>
      <c r="AX18" s="7">
        <v>16</v>
      </c>
      <c r="AY18" s="13"/>
      <c r="AZ18" s="10"/>
      <c r="BA18" s="10"/>
      <c r="BB18" s="10"/>
      <c r="BC18" s="12"/>
      <c r="BE18" s="7">
        <v>16</v>
      </c>
      <c r="BF18" s="13"/>
      <c r="BG18" s="10"/>
      <c r="BH18" s="10"/>
      <c r="BI18" s="10"/>
      <c r="BJ18" s="12"/>
      <c r="BL18" s="7">
        <v>16</v>
      </c>
      <c r="BM18" s="13"/>
      <c r="BN18" s="10"/>
      <c r="BO18" s="10"/>
      <c r="BP18" s="10"/>
      <c r="BQ18" s="12"/>
      <c r="BS18" s="7">
        <v>16</v>
      </c>
      <c r="BT18" s="13"/>
      <c r="BU18" s="10"/>
      <c r="BV18" s="10"/>
      <c r="BW18" s="10"/>
      <c r="BX18" s="12"/>
      <c r="BZ18" s="7">
        <v>16</v>
      </c>
      <c r="CA18" s="13"/>
      <c r="CB18" s="10"/>
      <c r="CC18" s="10"/>
      <c r="CD18" s="10"/>
      <c r="CE18" s="12"/>
      <c r="CG18" s="7">
        <v>16</v>
      </c>
      <c r="CH18" s="13"/>
      <c r="CI18" s="10"/>
      <c r="CJ18" s="10"/>
      <c r="CK18" s="10"/>
      <c r="CL18" s="12"/>
    </row>
    <row r="19" spans="1:90" x14ac:dyDescent="0.25">
      <c r="A19" s="7">
        <v>17</v>
      </c>
      <c r="B19" s="13"/>
      <c r="C19" s="10"/>
      <c r="D19" s="10"/>
      <c r="E19" s="10"/>
      <c r="F19" s="12"/>
      <c r="H19" s="7">
        <v>17</v>
      </c>
      <c r="I19" s="13"/>
      <c r="J19" s="10"/>
      <c r="K19" s="10"/>
      <c r="L19" s="10"/>
      <c r="M19" s="12"/>
      <c r="O19" s="7">
        <v>17</v>
      </c>
      <c r="P19" s="13"/>
      <c r="Q19" s="10"/>
      <c r="R19" s="10"/>
      <c r="S19" s="10"/>
      <c r="T19" s="12"/>
      <c r="V19" s="7">
        <v>17</v>
      </c>
      <c r="W19" s="13"/>
      <c r="X19" s="10"/>
      <c r="Y19" s="10"/>
      <c r="Z19" s="10"/>
      <c r="AA19" s="12"/>
      <c r="AC19" s="7">
        <v>17</v>
      </c>
      <c r="AD19" s="13"/>
      <c r="AE19" s="10"/>
      <c r="AF19" s="10"/>
      <c r="AG19" s="10"/>
      <c r="AH19" s="12"/>
      <c r="AJ19" s="7">
        <v>17</v>
      </c>
      <c r="AK19" s="13"/>
      <c r="AL19" s="10"/>
      <c r="AM19" s="10"/>
      <c r="AN19" s="10"/>
      <c r="AO19" s="12"/>
      <c r="AQ19" s="7">
        <v>17</v>
      </c>
      <c r="AR19" s="13"/>
      <c r="AS19" s="10"/>
      <c r="AT19" s="10"/>
      <c r="AU19" s="10"/>
      <c r="AV19" s="12"/>
      <c r="AX19" s="7">
        <v>17</v>
      </c>
      <c r="AY19" s="13"/>
      <c r="AZ19" s="10"/>
      <c r="BA19" s="10"/>
      <c r="BB19" s="10"/>
      <c r="BC19" s="12"/>
      <c r="BE19" s="7">
        <v>17</v>
      </c>
      <c r="BF19" s="13"/>
      <c r="BG19" s="10"/>
      <c r="BH19" s="10"/>
      <c r="BI19" s="10"/>
      <c r="BJ19" s="12"/>
      <c r="BL19" s="7">
        <v>17</v>
      </c>
      <c r="BM19" s="13"/>
      <c r="BN19" s="10"/>
      <c r="BO19" s="10"/>
      <c r="BP19" s="10"/>
      <c r="BQ19" s="12"/>
      <c r="BS19" s="7">
        <v>17</v>
      </c>
      <c r="BT19" s="13"/>
      <c r="BU19" s="10"/>
      <c r="BV19" s="10"/>
      <c r="BW19" s="10"/>
      <c r="BX19" s="12"/>
      <c r="BZ19" s="7">
        <v>17</v>
      </c>
      <c r="CA19" s="13"/>
      <c r="CB19" s="10"/>
      <c r="CC19" s="10"/>
      <c r="CD19" s="10"/>
      <c r="CE19" s="12"/>
      <c r="CG19" s="7">
        <v>17</v>
      </c>
      <c r="CH19" s="13"/>
      <c r="CI19" s="10"/>
      <c r="CJ19" s="10"/>
      <c r="CK19" s="10"/>
      <c r="CL19" s="12"/>
    </row>
    <row r="20" spans="1:90" x14ac:dyDescent="0.25">
      <c r="A20" s="7">
        <v>18</v>
      </c>
      <c r="B20" s="13"/>
      <c r="C20" s="10"/>
      <c r="D20" s="10"/>
      <c r="E20" s="10"/>
      <c r="F20" s="12"/>
      <c r="H20" s="7">
        <v>18</v>
      </c>
      <c r="I20" s="13"/>
      <c r="J20" s="10"/>
      <c r="K20" s="10"/>
      <c r="L20" s="10"/>
      <c r="M20" s="12"/>
      <c r="O20" s="7">
        <v>18</v>
      </c>
      <c r="P20" s="13"/>
      <c r="Q20" s="10"/>
      <c r="R20" s="10"/>
      <c r="S20" s="10"/>
      <c r="T20" s="12"/>
      <c r="V20" s="7">
        <v>18</v>
      </c>
      <c r="W20" s="13"/>
      <c r="X20" s="10"/>
      <c r="Y20" s="10"/>
      <c r="Z20" s="10"/>
      <c r="AA20" s="12"/>
      <c r="AC20" s="7">
        <v>18</v>
      </c>
      <c r="AD20" s="13"/>
      <c r="AE20" s="10"/>
      <c r="AF20" s="10"/>
      <c r="AG20" s="10"/>
      <c r="AH20" s="12"/>
      <c r="AJ20" s="7">
        <v>18</v>
      </c>
      <c r="AK20" s="13"/>
      <c r="AL20" s="10"/>
      <c r="AM20" s="10"/>
      <c r="AN20" s="10"/>
      <c r="AO20" s="12"/>
      <c r="AQ20" s="7">
        <v>18</v>
      </c>
      <c r="AR20" s="13"/>
      <c r="AS20" s="10"/>
      <c r="AT20" s="10"/>
      <c r="AU20" s="10"/>
      <c r="AV20" s="12"/>
      <c r="AX20" s="7">
        <v>18</v>
      </c>
      <c r="AY20" s="13"/>
      <c r="AZ20" s="10"/>
      <c r="BA20" s="10"/>
      <c r="BB20" s="10"/>
      <c r="BC20" s="12"/>
      <c r="BE20" s="7">
        <v>18</v>
      </c>
      <c r="BF20" s="13"/>
      <c r="BG20" s="10"/>
      <c r="BH20" s="10"/>
      <c r="BI20" s="10"/>
      <c r="BJ20" s="12"/>
      <c r="BL20" s="7">
        <v>18</v>
      </c>
      <c r="BM20" s="13"/>
      <c r="BN20" s="10"/>
      <c r="BO20" s="10"/>
      <c r="BP20" s="10"/>
      <c r="BQ20" s="12"/>
      <c r="BS20" s="7">
        <v>18</v>
      </c>
      <c r="BT20" s="13"/>
      <c r="BU20" s="10"/>
      <c r="BV20" s="10"/>
      <c r="BW20" s="10"/>
      <c r="BX20" s="12"/>
      <c r="BZ20" s="7">
        <v>18</v>
      </c>
      <c r="CA20" s="13"/>
      <c r="CB20" s="10"/>
      <c r="CC20" s="10"/>
      <c r="CD20" s="10"/>
      <c r="CE20" s="12"/>
      <c r="CG20" s="7">
        <v>18</v>
      </c>
      <c r="CH20" s="13"/>
      <c r="CI20" s="10"/>
      <c r="CJ20" s="10"/>
      <c r="CK20" s="10"/>
      <c r="CL20" s="12"/>
    </row>
    <row r="21" spans="1:90" x14ac:dyDescent="0.25">
      <c r="A21" s="7">
        <v>19</v>
      </c>
      <c r="B21" s="13"/>
      <c r="C21" s="10"/>
      <c r="D21" s="10"/>
      <c r="E21" s="10"/>
      <c r="F21" s="12"/>
      <c r="H21" s="7">
        <v>19</v>
      </c>
      <c r="I21" s="13"/>
      <c r="J21" s="10"/>
      <c r="K21" s="10"/>
      <c r="L21" s="10"/>
      <c r="M21" s="12"/>
      <c r="O21" s="7">
        <v>19</v>
      </c>
      <c r="P21" s="13"/>
      <c r="Q21" s="10"/>
      <c r="R21" s="10"/>
      <c r="S21" s="10"/>
      <c r="T21" s="12"/>
      <c r="V21" s="7">
        <v>19</v>
      </c>
      <c r="W21" s="13"/>
      <c r="X21" s="10"/>
      <c r="Y21" s="10"/>
      <c r="Z21" s="10"/>
      <c r="AA21" s="12"/>
      <c r="AC21" s="7">
        <v>19</v>
      </c>
      <c r="AD21" s="13"/>
      <c r="AE21" s="10"/>
      <c r="AF21" s="10"/>
      <c r="AG21" s="10"/>
      <c r="AH21" s="12"/>
      <c r="AJ21" s="7">
        <v>19</v>
      </c>
      <c r="AK21" s="13"/>
      <c r="AL21" s="10"/>
      <c r="AM21" s="10"/>
      <c r="AN21" s="10"/>
      <c r="AO21" s="12"/>
      <c r="AQ21" s="7">
        <v>19</v>
      </c>
      <c r="AR21" s="13"/>
      <c r="AS21" s="10"/>
      <c r="AT21" s="10"/>
      <c r="AU21" s="10"/>
      <c r="AV21" s="12"/>
      <c r="AX21" s="7">
        <v>19</v>
      </c>
      <c r="AY21" s="13"/>
      <c r="AZ21" s="10"/>
      <c r="BA21" s="10"/>
      <c r="BB21" s="10"/>
      <c r="BC21" s="12"/>
      <c r="BE21" s="7">
        <v>19</v>
      </c>
      <c r="BF21" s="13"/>
      <c r="BG21" s="10"/>
      <c r="BH21" s="10"/>
      <c r="BI21" s="10"/>
      <c r="BJ21" s="12"/>
      <c r="BL21" s="7">
        <v>19</v>
      </c>
      <c r="BM21" s="13"/>
      <c r="BN21" s="10"/>
      <c r="BO21" s="10"/>
      <c r="BP21" s="10"/>
      <c r="BQ21" s="12"/>
      <c r="BS21" s="7">
        <v>19</v>
      </c>
      <c r="BT21" s="13"/>
      <c r="BU21" s="10"/>
      <c r="BV21" s="10"/>
      <c r="BW21" s="10"/>
      <c r="BX21" s="12"/>
      <c r="BZ21" s="7">
        <v>19</v>
      </c>
      <c r="CA21" s="13"/>
      <c r="CB21" s="10"/>
      <c r="CC21" s="10"/>
      <c r="CD21" s="10"/>
      <c r="CE21" s="12"/>
      <c r="CG21" s="7">
        <v>19</v>
      </c>
      <c r="CH21" s="13"/>
      <c r="CI21" s="10"/>
      <c r="CJ21" s="10"/>
      <c r="CK21" s="10"/>
      <c r="CL21" s="12"/>
    </row>
    <row r="22" spans="1:90" x14ac:dyDescent="0.25">
      <c r="A22" s="7">
        <v>20</v>
      </c>
      <c r="B22" s="13"/>
      <c r="C22" s="10"/>
      <c r="D22" s="10"/>
      <c r="E22" s="10"/>
      <c r="F22" s="12"/>
      <c r="H22" s="7">
        <v>20</v>
      </c>
      <c r="I22" s="13"/>
      <c r="J22" s="10"/>
      <c r="K22" s="10"/>
      <c r="L22" s="10"/>
      <c r="M22" s="12"/>
      <c r="O22" s="7">
        <v>20</v>
      </c>
      <c r="P22" s="13"/>
      <c r="Q22" s="10"/>
      <c r="R22" s="10"/>
      <c r="S22" s="10"/>
      <c r="T22" s="12"/>
      <c r="V22" s="7">
        <v>20</v>
      </c>
      <c r="W22" s="13"/>
      <c r="X22" s="10"/>
      <c r="Y22" s="10"/>
      <c r="Z22" s="10"/>
      <c r="AA22" s="12"/>
      <c r="AC22" s="7">
        <v>20</v>
      </c>
      <c r="AD22" s="13"/>
      <c r="AE22" s="10"/>
      <c r="AF22" s="10"/>
      <c r="AG22" s="10"/>
      <c r="AH22" s="12"/>
      <c r="AJ22" s="7">
        <v>20</v>
      </c>
      <c r="AK22" s="13"/>
      <c r="AL22" s="10"/>
      <c r="AM22" s="10"/>
      <c r="AN22" s="10"/>
      <c r="AO22" s="12"/>
      <c r="AQ22" s="7">
        <v>20</v>
      </c>
      <c r="AR22" s="13"/>
      <c r="AS22" s="10"/>
      <c r="AT22" s="10"/>
      <c r="AU22" s="10"/>
      <c r="AV22" s="12"/>
      <c r="AX22" s="7">
        <v>20</v>
      </c>
      <c r="AY22" s="13"/>
      <c r="AZ22" s="10"/>
      <c r="BA22" s="10"/>
      <c r="BB22" s="10"/>
      <c r="BC22" s="12"/>
      <c r="BE22" s="7">
        <v>20</v>
      </c>
      <c r="BF22" s="13"/>
      <c r="BG22" s="10"/>
      <c r="BH22" s="10"/>
      <c r="BI22" s="10"/>
      <c r="BJ22" s="12"/>
      <c r="BL22" s="7">
        <v>20</v>
      </c>
      <c r="BM22" s="13"/>
      <c r="BN22" s="10"/>
      <c r="BO22" s="10"/>
      <c r="BP22" s="10"/>
      <c r="BQ22" s="12"/>
      <c r="BS22" s="7">
        <v>20</v>
      </c>
      <c r="BT22" s="13"/>
      <c r="BU22" s="10"/>
      <c r="BV22" s="10"/>
      <c r="BW22" s="10"/>
      <c r="BX22" s="12"/>
      <c r="BZ22" s="7">
        <v>20</v>
      </c>
      <c r="CA22" s="13"/>
      <c r="CB22" s="10"/>
      <c r="CC22" s="10"/>
      <c r="CD22" s="10"/>
      <c r="CE22" s="12"/>
      <c r="CG22" s="7">
        <v>20</v>
      </c>
      <c r="CH22" s="13"/>
      <c r="CI22" s="10"/>
      <c r="CJ22" s="10"/>
      <c r="CK22" s="10"/>
      <c r="CL22" s="12"/>
    </row>
    <row r="23" spans="1:90" x14ac:dyDescent="0.25">
      <c r="A23" s="7">
        <v>21</v>
      </c>
      <c r="B23" s="13"/>
      <c r="C23" s="10"/>
      <c r="D23" s="10"/>
      <c r="E23" s="10"/>
      <c r="F23" s="12"/>
      <c r="H23" s="7">
        <v>21</v>
      </c>
      <c r="I23" s="13"/>
      <c r="J23" s="10"/>
      <c r="K23" s="10"/>
      <c r="L23" s="10"/>
      <c r="M23" s="12"/>
      <c r="O23" s="7">
        <v>21</v>
      </c>
      <c r="P23" s="13"/>
      <c r="Q23" s="10"/>
      <c r="R23" s="10"/>
      <c r="S23" s="10"/>
      <c r="T23" s="12"/>
      <c r="V23" s="7">
        <v>21</v>
      </c>
      <c r="W23" s="13"/>
      <c r="X23" s="10"/>
      <c r="Y23" s="10"/>
      <c r="Z23" s="10"/>
      <c r="AA23" s="12"/>
      <c r="AC23" s="7">
        <v>21</v>
      </c>
      <c r="AD23" s="13"/>
      <c r="AE23" s="10"/>
      <c r="AF23" s="10"/>
      <c r="AG23" s="10"/>
      <c r="AH23" s="12"/>
      <c r="AJ23" s="7">
        <v>21</v>
      </c>
      <c r="AK23" s="13"/>
      <c r="AL23" s="10"/>
      <c r="AM23" s="10"/>
      <c r="AN23" s="10"/>
      <c r="AO23" s="12"/>
      <c r="AQ23" s="7">
        <v>21</v>
      </c>
      <c r="AR23" s="13"/>
      <c r="AS23" s="10"/>
      <c r="AT23" s="10"/>
      <c r="AU23" s="10"/>
      <c r="AV23" s="12"/>
      <c r="AX23" s="7">
        <v>21</v>
      </c>
      <c r="AY23" s="13"/>
      <c r="AZ23" s="10"/>
      <c r="BA23" s="10"/>
      <c r="BB23" s="10"/>
      <c r="BC23" s="12"/>
      <c r="BE23" s="7">
        <v>21</v>
      </c>
      <c r="BF23" s="13"/>
      <c r="BG23" s="10"/>
      <c r="BH23" s="10"/>
      <c r="BI23" s="10"/>
      <c r="BJ23" s="12"/>
      <c r="BL23" s="7">
        <v>21</v>
      </c>
      <c r="BM23" s="13"/>
      <c r="BN23" s="10"/>
      <c r="BO23" s="10"/>
      <c r="BP23" s="10"/>
      <c r="BQ23" s="12"/>
      <c r="BS23" s="7">
        <v>21</v>
      </c>
      <c r="BT23" s="13"/>
      <c r="BU23" s="10"/>
      <c r="BV23" s="10"/>
      <c r="BW23" s="10"/>
      <c r="BX23" s="12"/>
      <c r="BZ23" s="7">
        <v>21</v>
      </c>
      <c r="CA23" s="13"/>
      <c r="CB23" s="10"/>
      <c r="CC23" s="10"/>
      <c r="CD23" s="10"/>
      <c r="CE23" s="12"/>
      <c r="CG23" s="7">
        <v>21</v>
      </c>
      <c r="CH23" s="13"/>
      <c r="CI23" s="10"/>
      <c r="CJ23" s="10"/>
      <c r="CK23" s="10"/>
      <c r="CL23" s="12"/>
    </row>
    <row r="24" spans="1:90" x14ac:dyDescent="0.25">
      <c r="A24" s="7">
        <v>22</v>
      </c>
      <c r="B24" s="13"/>
      <c r="C24" s="10"/>
      <c r="D24" s="10"/>
      <c r="E24" s="10"/>
      <c r="F24" s="12"/>
      <c r="H24" s="7">
        <v>22</v>
      </c>
      <c r="I24" s="13"/>
      <c r="J24" s="10"/>
      <c r="K24" s="10"/>
      <c r="L24" s="10"/>
      <c r="M24" s="12"/>
      <c r="O24" s="7">
        <v>22</v>
      </c>
      <c r="P24" s="13"/>
      <c r="Q24" s="10"/>
      <c r="R24" s="10"/>
      <c r="S24" s="10"/>
      <c r="T24" s="12"/>
      <c r="V24" s="7">
        <v>22</v>
      </c>
      <c r="W24" s="13"/>
      <c r="X24" s="10"/>
      <c r="Y24" s="10"/>
      <c r="Z24" s="10"/>
      <c r="AA24" s="12"/>
      <c r="AC24" s="7">
        <v>22</v>
      </c>
      <c r="AD24" s="13"/>
      <c r="AE24" s="10"/>
      <c r="AF24" s="10"/>
      <c r="AG24" s="10"/>
      <c r="AH24" s="12"/>
      <c r="AJ24" s="7">
        <v>22</v>
      </c>
      <c r="AK24" s="13"/>
      <c r="AL24" s="10"/>
      <c r="AM24" s="10"/>
      <c r="AN24" s="10"/>
      <c r="AO24" s="12"/>
      <c r="AQ24" s="7">
        <v>22</v>
      </c>
      <c r="AR24" s="13"/>
      <c r="AS24" s="10"/>
      <c r="AT24" s="10"/>
      <c r="AU24" s="10"/>
      <c r="AV24" s="12"/>
      <c r="AX24" s="7">
        <v>22</v>
      </c>
      <c r="AY24" s="13"/>
      <c r="AZ24" s="10"/>
      <c r="BA24" s="10"/>
      <c r="BB24" s="10"/>
      <c r="BC24" s="12"/>
      <c r="BE24" s="7">
        <v>22</v>
      </c>
      <c r="BF24" s="13"/>
      <c r="BG24" s="10"/>
      <c r="BH24" s="10"/>
      <c r="BI24" s="10"/>
      <c r="BJ24" s="12"/>
      <c r="BL24" s="7">
        <v>22</v>
      </c>
      <c r="BM24" s="13"/>
      <c r="BN24" s="10"/>
      <c r="BO24" s="10"/>
      <c r="BP24" s="10"/>
      <c r="BQ24" s="12"/>
      <c r="BS24" s="7">
        <v>22</v>
      </c>
      <c r="BT24" s="13"/>
      <c r="BU24" s="10"/>
      <c r="BV24" s="10"/>
      <c r="BW24" s="10"/>
      <c r="BX24" s="12"/>
      <c r="BZ24" s="7">
        <v>22</v>
      </c>
      <c r="CA24" s="13"/>
      <c r="CB24" s="10"/>
      <c r="CC24" s="10"/>
      <c r="CD24" s="10"/>
      <c r="CE24" s="12"/>
      <c r="CG24" s="7">
        <v>22</v>
      </c>
      <c r="CH24" s="13"/>
      <c r="CI24" s="10"/>
      <c r="CJ24" s="10"/>
      <c r="CK24" s="10"/>
      <c r="CL24" s="12"/>
    </row>
    <row r="25" spans="1:90" x14ac:dyDescent="0.25">
      <c r="A25" s="7">
        <v>23</v>
      </c>
      <c r="B25" s="13"/>
      <c r="C25" s="10"/>
      <c r="D25" s="10"/>
      <c r="E25" s="10"/>
      <c r="F25" s="12"/>
      <c r="H25" s="7">
        <v>23</v>
      </c>
      <c r="I25" s="13"/>
      <c r="J25" s="10"/>
      <c r="K25" s="10"/>
      <c r="L25" s="10"/>
      <c r="M25" s="12"/>
      <c r="O25" s="7">
        <v>23</v>
      </c>
      <c r="P25" s="13"/>
      <c r="Q25" s="10"/>
      <c r="R25" s="10"/>
      <c r="S25" s="10"/>
      <c r="T25" s="12"/>
      <c r="V25" s="7">
        <v>23</v>
      </c>
      <c r="W25" s="13"/>
      <c r="X25" s="10"/>
      <c r="Y25" s="10"/>
      <c r="Z25" s="10"/>
      <c r="AA25" s="12"/>
      <c r="AC25" s="7">
        <v>23</v>
      </c>
      <c r="AD25" s="13"/>
      <c r="AE25" s="10"/>
      <c r="AF25" s="10"/>
      <c r="AG25" s="10"/>
      <c r="AH25" s="12"/>
      <c r="AJ25" s="7">
        <v>23</v>
      </c>
      <c r="AK25" s="13"/>
      <c r="AL25" s="10"/>
      <c r="AM25" s="10"/>
      <c r="AN25" s="10"/>
      <c r="AO25" s="12"/>
      <c r="AQ25" s="7">
        <v>23</v>
      </c>
      <c r="AR25" s="13"/>
      <c r="AS25" s="10"/>
      <c r="AT25" s="10"/>
      <c r="AU25" s="10"/>
      <c r="AV25" s="12"/>
      <c r="AX25" s="7">
        <v>23</v>
      </c>
      <c r="AY25" s="13"/>
      <c r="AZ25" s="10"/>
      <c r="BA25" s="10"/>
      <c r="BB25" s="10"/>
      <c r="BC25" s="12"/>
      <c r="BE25" s="7">
        <v>23</v>
      </c>
      <c r="BF25" s="13"/>
      <c r="BG25" s="10"/>
      <c r="BH25" s="10"/>
      <c r="BI25" s="10"/>
      <c r="BJ25" s="12"/>
      <c r="BL25" s="7">
        <v>23</v>
      </c>
      <c r="BM25" s="13"/>
      <c r="BN25" s="10"/>
      <c r="BO25" s="10"/>
      <c r="BP25" s="10"/>
      <c r="BQ25" s="12"/>
      <c r="BS25" s="7">
        <v>23</v>
      </c>
      <c r="BT25" s="13"/>
      <c r="BU25" s="10"/>
      <c r="BV25" s="10"/>
      <c r="BW25" s="10"/>
      <c r="BX25" s="12"/>
      <c r="BZ25" s="7">
        <v>23</v>
      </c>
      <c r="CA25" s="13"/>
      <c r="CB25" s="10"/>
      <c r="CC25" s="10"/>
      <c r="CD25" s="10"/>
      <c r="CE25" s="12"/>
      <c r="CG25" s="7">
        <v>23</v>
      </c>
      <c r="CH25" s="13"/>
      <c r="CI25" s="10"/>
      <c r="CJ25" s="10"/>
      <c r="CK25" s="10"/>
      <c r="CL25" s="12"/>
    </row>
    <row r="26" spans="1:90" x14ac:dyDescent="0.25">
      <c r="A26" s="7">
        <v>24</v>
      </c>
      <c r="B26" s="13"/>
      <c r="C26" s="10"/>
      <c r="D26" s="10"/>
      <c r="E26" s="10"/>
      <c r="F26" s="12"/>
      <c r="H26" s="7">
        <v>24</v>
      </c>
      <c r="I26" s="13"/>
      <c r="J26" s="10"/>
      <c r="K26" s="10"/>
      <c r="L26" s="10"/>
      <c r="M26" s="12"/>
      <c r="O26" s="7">
        <v>24</v>
      </c>
      <c r="P26" s="13"/>
      <c r="Q26" s="10"/>
      <c r="R26" s="10"/>
      <c r="S26" s="10"/>
      <c r="T26" s="12"/>
      <c r="V26" s="7">
        <v>24</v>
      </c>
      <c r="W26" s="13"/>
      <c r="X26" s="10"/>
      <c r="Y26" s="10"/>
      <c r="Z26" s="10"/>
      <c r="AA26" s="12"/>
      <c r="AC26" s="7">
        <v>24</v>
      </c>
      <c r="AD26" s="13"/>
      <c r="AE26" s="10"/>
      <c r="AF26" s="10"/>
      <c r="AG26" s="10"/>
      <c r="AH26" s="12"/>
      <c r="AJ26" s="7">
        <v>24</v>
      </c>
      <c r="AK26" s="13"/>
      <c r="AL26" s="10"/>
      <c r="AM26" s="10"/>
      <c r="AN26" s="10"/>
      <c r="AO26" s="12"/>
      <c r="AQ26" s="7">
        <v>24</v>
      </c>
      <c r="AR26" s="13"/>
      <c r="AS26" s="10"/>
      <c r="AT26" s="10"/>
      <c r="AU26" s="10"/>
      <c r="AV26" s="12"/>
      <c r="AX26" s="7">
        <v>24</v>
      </c>
      <c r="AY26" s="13"/>
      <c r="AZ26" s="10"/>
      <c r="BA26" s="10"/>
      <c r="BB26" s="10"/>
      <c r="BC26" s="12"/>
      <c r="BE26" s="7">
        <v>24</v>
      </c>
      <c r="BF26" s="13"/>
      <c r="BG26" s="10"/>
      <c r="BH26" s="10"/>
      <c r="BI26" s="10"/>
      <c r="BJ26" s="12"/>
      <c r="BL26" s="7">
        <v>24</v>
      </c>
      <c r="BM26" s="13"/>
      <c r="BN26" s="10"/>
      <c r="BO26" s="10"/>
      <c r="BP26" s="10"/>
      <c r="BQ26" s="12"/>
      <c r="BS26" s="7">
        <v>24</v>
      </c>
      <c r="BT26" s="13"/>
      <c r="BU26" s="10"/>
      <c r="BV26" s="10"/>
      <c r="BW26" s="10"/>
      <c r="BX26" s="12"/>
      <c r="BZ26" s="7">
        <v>24</v>
      </c>
      <c r="CA26" s="13"/>
      <c r="CB26" s="10"/>
      <c r="CC26" s="10"/>
      <c r="CD26" s="10"/>
      <c r="CE26" s="12"/>
      <c r="CG26" s="7">
        <v>24</v>
      </c>
      <c r="CH26" s="13"/>
      <c r="CI26" s="10"/>
      <c r="CJ26" s="10"/>
      <c r="CK26" s="10"/>
      <c r="CL26" s="12"/>
    </row>
    <row r="27" spans="1:90" x14ac:dyDescent="0.25">
      <c r="A27" s="7">
        <v>25</v>
      </c>
      <c r="B27" s="13"/>
      <c r="C27" s="10"/>
      <c r="D27" s="10"/>
      <c r="E27" s="10"/>
      <c r="F27" s="12"/>
      <c r="H27" s="7">
        <v>25</v>
      </c>
      <c r="I27" s="13"/>
      <c r="J27" s="10"/>
      <c r="K27" s="10"/>
      <c r="L27" s="10"/>
      <c r="M27" s="12"/>
      <c r="O27" s="7">
        <v>25</v>
      </c>
      <c r="P27" s="13"/>
      <c r="Q27" s="10"/>
      <c r="R27" s="10"/>
      <c r="S27" s="10"/>
      <c r="T27" s="12"/>
      <c r="V27" s="7">
        <v>25</v>
      </c>
      <c r="W27" s="13"/>
      <c r="X27" s="10"/>
      <c r="Y27" s="10"/>
      <c r="Z27" s="10"/>
      <c r="AA27" s="12"/>
      <c r="AC27" s="7">
        <v>25</v>
      </c>
      <c r="AD27" s="13"/>
      <c r="AE27" s="10"/>
      <c r="AF27" s="10"/>
      <c r="AG27" s="10"/>
      <c r="AH27" s="12"/>
      <c r="AJ27" s="7">
        <v>25</v>
      </c>
      <c r="AK27" s="13"/>
      <c r="AL27" s="10"/>
      <c r="AM27" s="10"/>
      <c r="AN27" s="10"/>
      <c r="AO27" s="12"/>
      <c r="AQ27" s="7">
        <v>25</v>
      </c>
      <c r="AR27" s="13"/>
      <c r="AS27" s="10"/>
      <c r="AT27" s="10"/>
      <c r="AU27" s="10"/>
      <c r="AV27" s="12"/>
      <c r="AX27" s="7">
        <v>25</v>
      </c>
      <c r="AY27" s="13"/>
      <c r="AZ27" s="10"/>
      <c r="BA27" s="10"/>
      <c r="BB27" s="10"/>
      <c r="BC27" s="12"/>
      <c r="BE27" s="7">
        <v>25</v>
      </c>
      <c r="BF27" s="13"/>
      <c r="BG27" s="10"/>
      <c r="BH27" s="10"/>
      <c r="BI27" s="10"/>
      <c r="BJ27" s="12"/>
      <c r="BL27" s="7">
        <v>25</v>
      </c>
      <c r="BM27" s="13"/>
      <c r="BN27" s="10"/>
      <c r="BO27" s="10"/>
      <c r="BP27" s="10"/>
      <c r="BQ27" s="12"/>
      <c r="BS27" s="7">
        <v>25</v>
      </c>
      <c r="BT27" s="13"/>
      <c r="BU27" s="10"/>
      <c r="BV27" s="10"/>
      <c r="BW27" s="10"/>
      <c r="BX27" s="12"/>
      <c r="BZ27" s="7">
        <v>25</v>
      </c>
      <c r="CA27" s="13"/>
      <c r="CB27" s="10"/>
      <c r="CC27" s="10"/>
      <c r="CD27" s="10"/>
      <c r="CE27" s="12"/>
      <c r="CG27" s="7">
        <v>25</v>
      </c>
      <c r="CH27" s="13"/>
      <c r="CI27" s="10"/>
      <c r="CJ27" s="10"/>
      <c r="CK27" s="10"/>
      <c r="CL27" s="12"/>
    </row>
    <row r="28" spans="1:90" x14ac:dyDescent="0.25">
      <c r="A28" s="7">
        <v>26</v>
      </c>
      <c r="B28" s="13"/>
      <c r="C28" s="10"/>
      <c r="D28" s="10"/>
      <c r="E28" s="10"/>
      <c r="F28" s="12"/>
      <c r="H28" s="7">
        <v>26</v>
      </c>
      <c r="I28" s="13"/>
      <c r="J28" s="10"/>
      <c r="K28" s="10"/>
      <c r="L28" s="10"/>
      <c r="M28" s="12"/>
      <c r="O28" s="7">
        <v>26</v>
      </c>
      <c r="P28" s="13"/>
      <c r="Q28" s="10"/>
      <c r="R28" s="10"/>
      <c r="S28" s="10"/>
      <c r="T28" s="12"/>
      <c r="V28" s="7">
        <v>26</v>
      </c>
      <c r="W28" s="13"/>
      <c r="X28" s="10"/>
      <c r="Y28" s="10"/>
      <c r="Z28" s="10"/>
      <c r="AA28" s="12"/>
      <c r="AC28" s="7">
        <v>26</v>
      </c>
      <c r="AD28" s="13"/>
      <c r="AE28" s="10"/>
      <c r="AF28" s="10"/>
      <c r="AG28" s="10"/>
      <c r="AH28" s="12"/>
      <c r="AJ28" s="7">
        <v>26</v>
      </c>
      <c r="AK28" s="13"/>
      <c r="AL28" s="10"/>
      <c r="AM28" s="10"/>
      <c r="AN28" s="10"/>
      <c r="AO28" s="12"/>
      <c r="AQ28" s="7">
        <v>26</v>
      </c>
      <c r="AR28" s="13"/>
      <c r="AS28" s="10"/>
      <c r="AT28" s="10"/>
      <c r="AU28" s="10"/>
      <c r="AV28" s="12"/>
      <c r="AX28" s="7">
        <v>26</v>
      </c>
      <c r="AY28" s="13"/>
      <c r="AZ28" s="10"/>
      <c r="BA28" s="10"/>
      <c r="BB28" s="10"/>
      <c r="BC28" s="12"/>
      <c r="BE28" s="7">
        <v>26</v>
      </c>
      <c r="BF28" s="13"/>
      <c r="BG28" s="10"/>
      <c r="BH28" s="10"/>
      <c r="BI28" s="10"/>
      <c r="BJ28" s="12"/>
      <c r="BL28" s="7">
        <v>26</v>
      </c>
      <c r="BM28" s="13"/>
      <c r="BN28" s="10"/>
      <c r="BO28" s="10"/>
      <c r="BP28" s="10"/>
      <c r="BQ28" s="12"/>
      <c r="BS28" s="7">
        <v>26</v>
      </c>
      <c r="BT28" s="13"/>
      <c r="BU28" s="10"/>
      <c r="BV28" s="10"/>
      <c r="BW28" s="10"/>
      <c r="BX28" s="12"/>
      <c r="BZ28" s="7">
        <v>26</v>
      </c>
      <c r="CA28" s="13"/>
      <c r="CB28" s="10"/>
      <c r="CC28" s="10"/>
      <c r="CD28" s="10"/>
      <c r="CE28" s="12"/>
      <c r="CG28" s="7">
        <v>26</v>
      </c>
      <c r="CH28" s="13"/>
      <c r="CI28" s="10"/>
      <c r="CJ28" s="10"/>
      <c r="CK28" s="10"/>
      <c r="CL28" s="12"/>
    </row>
    <row r="29" spans="1:90" x14ac:dyDescent="0.25">
      <c r="A29" s="7">
        <v>27</v>
      </c>
      <c r="B29" s="13"/>
      <c r="C29" s="10"/>
      <c r="D29" s="10"/>
      <c r="E29" s="10"/>
      <c r="F29" s="12"/>
      <c r="H29" s="7">
        <v>27</v>
      </c>
      <c r="I29" s="13"/>
      <c r="J29" s="10"/>
      <c r="K29" s="10"/>
      <c r="L29" s="10"/>
      <c r="M29" s="12"/>
      <c r="O29" s="7">
        <v>27</v>
      </c>
      <c r="P29" s="13"/>
      <c r="Q29" s="10"/>
      <c r="R29" s="10"/>
      <c r="S29" s="10"/>
      <c r="T29" s="12"/>
      <c r="V29" s="7">
        <v>27</v>
      </c>
      <c r="W29" s="13"/>
      <c r="X29" s="10"/>
      <c r="Y29" s="10"/>
      <c r="Z29" s="10"/>
      <c r="AA29" s="12"/>
      <c r="AC29" s="7">
        <v>27</v>
      </c>
      <c r="AD29" s="13"/>
      <c r="AE29" s="10"/>
      <c r="AF29" s="10"/>
      <c r="AG29" s="10"/>
      <c r="AH29" s="12"/>
      <c r="AJ29" s="7">
        <v>27</v>
      </c>
      <c r="AK29" s="13"/>
      <c r="AL29" s="10"/>
      <c r="AM29" s="10"/>
      <c r="AN29" s="10"/>
      <c r="AO29" s="12"/>
      <c r="AQ29" s="7">
        <v>27</v>
      </c>
      <c r="AR29" s="13"/>
      <c r="AS29" s="10"/>
      <c r="AT29" s="10"/>
      <c r="AU29" s="10"/>
      <c r="AV29" s="12"/>
      <c r="AX29" s="7">
        <v>27</v>
      </c>
      <c r="AY29" s="13"/>
      <c r="AZ29" s="10"/>
      <c r="BA29" s="10"/>
      <c r="BB29" s="10"/>
      <c r="BC29" s="12"/>
      <c r="BE29" s="7">
        <v>27</v>
      </c>
      <c r="BF29" s="13"/>
      <c r="BG29" s="10"/>
      <c r="BH29" s="10"/>
      <c r="BI29" s="10"/>
      <c r="BJ29" s="12"/>
      <c r="BL29" s="7">
        <v>27</v>
      </c>
      <c r="BM29" s="13"/>
      <c r="BN29" s="10"/>
      <c r="BO29" s="10"/>
      <c r="BP29" s="10"/>
      <c r="BQ29" s="12"/>
      <c r="BS29" s="7">
        <v>27</v>
      </c>
      <c r="BT29" s="13"/>
      <c r="BU29" s="10"/>
      <c r="BV29" s="10"/>
      <c r="BW29" s="10"/>
      <c r="BX29" s="12"/>
      <c r="BZ29" s="7">
        <v>27</v>
      </c>
      <c r="CA29" s="13"/>
      <c r="CB29" s="10"/>
      <c r="CC29" s="10"/>
      <c r="CD29" s="10"/>
      <c r="CE29" s="12"/>
      <c r="CG29" s="7">
        <v>27</v>
      </c>
      <c r="CH29" s="13"/>
      <c r="CI29" s="10"/>
      <c r="CJ29" s="10"/>
      <c r="CK29" s="10"/>
      <c r="CL29" s="12"/>
    </row>
    <row r="30" spans="1:90" x14ac:dyDescent="0.25">
      <c r="A30" s="7">
        <v>28</v>
      </c>
      <c r="B30" s="13"/>
      <c r="C30" s="10"/>
      <c r="D30" s="10"/>
      <c r="E30" s="10"/>
      <c r="F30" s="12"/>
      <c r="H30" s="7">
        <v>28</v>
      </c>
      <c r="I30" s="13"/>
      <c r="J30" s="10"/>
      <c r="K30" s="10"/>
      <c r="L30" s="10"/>
      <c r="M30" s="12"/>
      <c r="O30" s="7">
        <v>28</v>
      </c>
      <c r="P30" s="13"/>
      <c r="Q30" s="10"/>
      <c r="R30" s="10"/>
      <c r="S30" s="10"/>
      <c r="T30" s="12"/>
      <c r="V30" s="7">
        <v>28</v>
      </c>
      <c r="W30" s="13"/>
      <c r="X30" s="10"/>
      <c r="Y30" s="10"/>
      <c r="Z30" s="10"/>
      <c r="AA30" s="12"/>
      <c r="AC30" s="7">
        <v>28</v>
      </c>
      <c r="AD30" s="13"/>
      <c r="AE30" s="10"/>
      <c r="AF30" s="10"/>
      <c r="AG30" s="10"/>
      <c r="AH30" s="12"/>
      <c r="AJ30" s="7">
        <v>28</v>
      </c>
      <c r="AK30" s="13"/>
      <c r="AL30" s="10"/>
      <c r="AM30" s="10"/>
      <c r="AN30" s="10"/>
      <c r="AO30" s="12"/>
      <c r="AQ30" s="7">
        <v>28</v>
      </c>
      <c r="AR30" s="13"/>
      <c r="AS30" s="10"/>
      <c r="AT30" s="10"/>
      <c r="AU30" s="10"/>
      <c r="AV30" s="12"/>
      <c r="AX30" s="7">
        <v>28</v>
      </c>
      <c r="AY30" s="13"/>
      <c r="AZ30" s="10"/>
      <c r="BA30" s="10"/>
      <c r="BB30" s="10"/>
      <c r="BC30" s="12"/>
      <c r="BE30" s="7">
        <v>28</v>
      </c>
      <c r="BF30" s="13"/>
      <c r="BG30" s="10"/>
      <c r="BH30" s="10"/>
      <c r="BI30" s="10"/>
      <c r="BJ30" s="12"/>
      <c r="BL30" s="7">
        <v>28</v>
      </c>
      <c r="BM30" s="13"/>
      <c r="BN30" s="10"/>
      <c r="BO30" s="10"/>
      <c r="BP30" s="10"/>
      <c r="BQ30" s="12"/>
      <c r="BS30" s="7">
        <v>28</v>
      </c>
      <c r="BT30" s="13"/>
      <c r="BU30" s="10"/>
      <c r="BV30" s="10"/>
      <c r="BW30" s="10"/>
      <c r="BX30" s="12"/>
      <c r="BZ30" s="7">
        <v>28</v>
      </c>
      <c r="CA30" s="13"/>
      <c r="CB30" s="10"/>
      <c r="CC30" s="10"/>
      <c r="CD30" s="10"/>
      <c r="CE30" s="12"/>
      <c r="CG30" s="7">
        <v>28</v>
      </c>
      <c r="CH30" s="13"/>
      <c r="CI30" s="10"/>
      <c r="CJ30" s="10"/>
      <c r="CK30" s="10"/>
      <c r="CL30" s="12"/>
    </row>
    <row r="31" spans="1:90" x14ac:dyDescent="0.25">
      <c r="A31" s="7">
        <v>29</v>
      </c>
      <c r="B31" s="13"/>
      <c r="C31" s="10"/>
      <c r="D31" s="10"/>
      <c r="E31" s="10"/>
      <c r="F31" s="12"/>
      <c r="H31" s="7">
        <v>29</v>
      </c>
      <c r="I31" s="13"/>
      <c r="J31" s="10"/>
      <c r="K31" s="10"/>
      <c r="L31" s="10"/>
      <c r="M31" s="12"/>
      <c r="O31" s="7">
        <v>29</v>
      </c>
      <c r="P31" s="13"/>
      <c r="Q31" s="10"/>
      <c r="R31" s="10"/>
      <c r="S31" s="10"/>
      <c r="T31" s="12"/>
      <c r="V31" s="7">
        <v>29</v>
      </c>
      <c r="W31" s="13"/>
      <c r="X31" s="10"/>
      <c r="Y31" s="10"/>
      <c r="Z31" s="10"/>
      <c r="AA31" s="12"/>
      <c r="AC31" s="7">
        <v>29</v>
      </c>
      <c r="AD31" s="13"/>
      <c r="AE31" s="10"/>
      <c r="AF31" s="10"/>
      <c r="AG31" s="10"/>
      <c r="AH31" s="12"/>
      <c r="AJ31" s="7">
        <v>29</v>
      </c>
      <c r="AK31" s="13"/>
      <c r="AL31" s="10"/>
      <c r="AM31" s="10"/>
      <c r="AN31" s="10"/>
      <c r="AO31" s="12"/>
      <c r="AQ31" s="7">
        <v>29</v>
      </c>
      <c r="AR31" s="13"/>
      <c r="AS31" s="10"/>
      <c r="AT31" s="10"/>
      <c r="AU31" s="10"/>
      <c r="AV31" s="12"/>
      <c r="AX31" s="7">
        <v>29</v>
      </c>
      <c r="AY31" s="13"/>
      <c r="AZ31" s="10"/>
      <c r="BA31" s="10"/>
      <c r="BB31" s="10"/>
      <c r="BC31" s="12"/>
      <c r="BE31" s="7">
        <v>29</v>
      </c>
      <c r="BF31" s="13"/>
      <c r="BG31" s="10"/>
      <c r="BH31" s="10"/>
      <c r="BI31" s="10"/>
      <c r="BJ31" s="12"/>
      <c r="BL31" s="7">
        <v>29</v>
      </c>
      <c r="BM31" s="13"/>
      <c r="BN31" s="10"/>
      <c r="BO31" s="10"/>
      <c r="BP31" s="10"/>
      <c r="BQ31" s="12"/>
      <c r="BS31" s="7">
        <v>29</v>
      </c>
      <c r="BT31" s="13"/>
      <c r="BU31" s="10"/>
      <c r="BV31" s="10"/>
      <c r="BW31" s="10"/>
      <c r="BX31" s="12"/>
      <c r="BZ31" s="7">
        <v>29</v>
      </c>
      <c r="CA31" s="13"/>
      <c r="CB31" s="10"/>
      <c r="CC31" s="10"/>
      <c r="CD31" s="10"/>
      <c r="CE31" s="12"/>
      <c r="CG31" s="7">
        <v>29</v>
      </c>
      <c r="CH31" s="13"/>
      <c r="CI31" s="10"/>
      <c r="CJ31" s="10"/>
      <c r="CK31" s="10"/>
      <c r="CL31" s="12"/>
    </row>
    <row r="32" spans="1:90" x14ac:dyDescent="0.25">
      <c r="A32" s="7">
        <v>30</v>
      </c>
      <c r="B32" s="13"/>
      <c r="C32" s="10"/>
      <c r="D32" s="10"/>
      <c r="E32" s="10"/>
      <c r="F32" s="12"/>
      <c r="H32" s="7">
        <v>30</v>
      </c>
      <c r="I32" s="13"/>
      <c r="J32" s="10"/>
      <c r="K32" s="10"/>
      <c r="L32" s="10"/>
      <c r="M32" s="12"/>
      <c r="O32" s="7">
        <v>30</v>
      </c>
      <c r="P32" s="13"/>
      <c r="Q32" s="10"/>
      <c r="R32" s="10"/>
      <c r="S32" s="10"/>
      <c r="T32" s="12"/>
      <c r="V32" s="7">
        <v>30</v>
      </c>
      <c r="W32" s="13"/>
      <c r="X32" s="10"/>
      <c r="Y32" s="10"/>
      <c r="Z32" s="10"/>
      <c r="AA32" s="12"/>
      <c r="AC32" s="7">
        <v>30</v>
      </c>
      <c r="AD32" s="13"/>
      <c r="AE32" s="10"/>
      <c r="AF32" s="10"/>
      <c r="AG32" s="10"/>
      <c r="AH32" s="12"/>
      <c r="AJ32" s="7">
        <v>30</v>
      </c>
      <c r="AK32" s="13"/>
      <c r="AL32" s="10"/>
      <c r="AM32" s="10"/>
      <c r="AN32" s="10"/>
      <c r="AO32" s="12"/>
      <c r="AQ32" s="7">
        <v>30</v>
      </c>
      <c r="AR32" s="13"/>
      <c r="AS32" s="10"/>
      <c r="AT32" s="10"/>
      <c r="AU32" s="10"/>
      <c r="AV32" s="12"/>
      <c r="AX32" s="7">
        <v>30</v>
      </c>
      <c r="AY32" s="13"/>
      <c r="AZ32" s="10"/>
      <c r="BA32" s="10"/>
      <c r="BB32" s="10"/>
      <c r="BC32" s="12"/>
      <c r="BE32" s="7">
        <v>30</v>
      </c>
      <c r="BF32" s="13"/>
      <c r="BG32" s="10"/>
      <c r="BH32" s="10"/>
      <c r="BI32" s="10"/>
      <c r="BJ32" s="12"/>
      <c r="BL32" s="7">
        <v>30</v>
      </c>
      <c r="BM32" s="13"/>
      <c r="BN32" s="10"/>
      <c r="BO32" s="10"/>
      <c r="BP32" s="10"/>
      <c r="BQ32" s="12"/>
      <c r="BS32" s="7">
        <v>30</v>
      </c>
      <c r="BT32" s="13"/>
      <c r="BU32" s="10"/>
      <c r="BV32" s="10"/>
      <c r="BW32" s="10"/>
      <c r="BX32" s="12"/>
      <c r="BZ32" s="7">
        <v>30</v>
      </c>
      <c r="CA32" s="13"/>
      <c r="CB32" s="10"/>
      <c r="CC32" s="10"/>
      <c r="CD32" s="10"/>
      <c r="CE32" s="12"/>
      <c r="CG32" s="7">
        <v>30</v>
      </c>
      <c r="CH32" s="13"/>
      <c r="CI32" s="10"/>
      <c r="CJ32" s="10"/>
      <c r="CK32" s="10"/>
      <c r="CL32" s="12"/>
    </row>
    <row r="33" spans="1:90" x14ac:dyDescent="0.25">
      <c r="A33" s="7">
        <v>31</v>
      </c>
      <c r="B33" s="13"/>
      <c r="C33" s="10"/>
      <c r="D33" s="10"/>
      <c r="E33" s="10"/>
      <c r="F33" s="12"/>
      <c r="H33" s="7">
        <v>31</v>
      </c>
      <c r="I33" s="13"/>
      <c r="J33" s="10"/>
      <c r="K33" s="10"/>
      <c r="L33" s="10"/>
      <c r="M33" s="12"/>
      <c r="O33" s="7">
        <v>31</v>
      </c>
      <c r="P33" s="13"/>
      <c r="Q33" s="10"/>
      <c r="R33" s="10"/>
      <c r="S33" s="10"/>
      <c r="T33" s="12"/>
      <c r="V33" s="7">
        <v>31</v>
      </c>
      <c r="W33" s="13"/>
      <c r="X33" s="10"/>
      <c r="Y33" s="10"/>
      <c r="Z33" s="10"/>
      <c r="AA33" s="12"/>
      <c r="AC33" s="7">
        <v>31</v>
      </c>
      <c r="AD33" s="13"/>
      <c r="AE33" s="10"/>
      <c r="AF33" s="10"/>
      <c r="AG33" s="10"/>
      <c r="AH33" s="12"/>
      <c r="AJ33" s="7">
        <v>31</v>
      </c>
      <c r="AK33" s="13"/>
      <c r="AL33" s="10"/>
      <c r="AM33" s="10"/>
      <c r="AN33" s="10"/>
      <c r="AO33" s="12"/>
      <c r="AQ33" s="7">
        <v>31</v>
      </c>
      <c r="AR33" s="13"/>
      <c r="AS33" s="10"/>
      <c r="AT33" s="10"/>
      <c r="AU33" s="10"/>
      <c r="AV33" s="12"/>
      <c r="AX33" s="7">
        <v>31</v>
      </c>
      <c r="AY33" s="13"/>
      <c r="AZ33" s="10"/>
      <c r="BA33" s="10"/>
      <c r="BB33" s="10"/>
      <c r="BC33" s="12"/>
      <c r="BE33" s="7">
        <v>31</v>
      </c>
      <c r="BF33" s="13"/>
      <c r="BG33" s="10"/>
      <c r="BH33" s="10"/>
      <c r="BI33" s="10"/>
      <c r="BJ33" s="12"/>
      <c r="BL33" s="7">
        <v>31</v>
      </c>
      <c r="BM33" s="13"/>
      <c r="BN33" s="10"/>
      <c r="BO33" s="10"/>
      <c r="BP33" s="10"/>
      <c r="BQ33" s="12"/>
      <c r="BS33" s="7">
        <v>31</v>
      </c>
      <c r="BT33" s="13"/>
      <c r="BU33" s="10"/>
      <c r="BV33" s="10"/>
      <c r="BW33" s="10"/>
      <c r="BX33" s="12"/>
      <c r="BZ33" s="7">
        <v>31</v>
      </c>
      <c r="CA33" s="13"/>
      <c r="CB33" s="10"/>
      <c r="CC33" s="10"/>
      <c r="CD33" s="10"/>
      <c r="CE33" s="12"/>
      <c r="CG33" s="7">
        <v>31</v>
      </c>
      <c r="CH33" s="13"/>
      <c r="CI33" s="10"/>
      <c r="CJ33" s="10"/>
      <c r="CK33" s="10"/>
      <c r="CL33" s="12"/>
    </row>
    <row r="34" spans="1:90" x14ac:dyDescent="0.25">
      <c r="A34" s="7">
        <v>32</v>
      </c>
      <c r="B34" s="13"/>
      <c r="C34" s="10"/>
      <c r="D34" s="10"/>
      <c r="E34" s="10"/>
      <c r="F34" s="12"/>
      <c r="H34" s="7">
        <v>32</v>
      </c>
      <c r="I34" s="13"/>
      <c r="J34" s="10"/>
      <c r="K34" s="10"/>
      <c r="L34" s="10"/>
      <c r="M34" s="12"/>
      <c r="O34" s="7">
        <v>32</v>
      </c>
      <c r="P34" s="13"/>
      <c r="Q34" s="10"/>
      <c r="R34" s="10"/>
      <c r="S34" s="10"/>
      <c r="T34" s="12"/>
      <c r="V34" s="7">
        <v>32</v>
      </c>
      <c r="W34" s="13"/>
      <c r="X34" s="10"/>
      <c r="Y34" s="10"/>
      <c r="Z34" s="10"/>
      <c r="AA34" s="12"/>
      <c r="AC34" s="7">
        <v>32</v>
      </c>
      <c r="AD34" s="13"/>
      <c r="AE34" s="10"/>
      <c r="AF34" s="10"/>
      <c r="AG34" s="10"/>
      <c r="AH34" s="12"/>
      <c r="AJ34" s="7">
        <v>32</v>
      </c>
      <c r="AK34" s="13"/>
      <c r="AL34" s="10"/>
      <c r="AM34" s="10"/>
      <c r="AN34" s="10"/>
      <c r="AO34" s="12"/>
      <c r="AQ34" s="7">
        <v>32</v>
      </c>
      <c r="AR34" s="13"/>
      <c r="AS34" s="10"/>
      <c r="AT34" s="10"/>
      <c r="AU34" s="10"/>
      <c r="AV34" s="12"/>
      <c r="AX34" s="7">
        <v>32</v>
      </c>
      <c r="AY34" s="13"/>
      <c r="AZ34" s="10"/>
      <c r="BA34" s="10"/>
      <c r="BB34" s="10"/>
      <c r="BC34" s="12"/>
      <c r="BE34" s="7">
        <v>32</v>
      </c>
      <c r="BF34" s="13"/>
      <c r="BG34" s="10"/>
      <c r="BH34" s="10"/>
      <c r="BI34" s="10"/>
      <c r="BJ34" s="12"/>
      <c r="BL34" s="7">
        <v>32</v>
      </c>
      <c r="BM34" s="13"/>
      <c r="BN34" s="10"/>
      <c r="BO34" s="10"/>
      <c r="BP34" s="10"/>
      <c r="BQ34" s="12"/>
      <c r="BS34" s="7">
        <v>32</v>
      </c>
      <c r="BT34" s="13"/>
      <c r="BU34" s="10"/>
      <c r="BV34" s="10"/>
      <c r="BW34" s="10"/>
      <c r="BX34" s="12"/>
      <c r="BZ34" s="7">
        <v>32</v>
      </c>
      <c r="CA34" s="13"/>
      <c r="CB34" s="10"/>
      <c r="CC34" s="10"/>
      <c r="CD34" s="10"/>
      <c r="CE34" s="12"/>
      <c r="CG34" s="7">
        <v>32</v>
      </c>
      <c r="CH34" s="13"/>
      <c r="CI34" s="10"/>
      <c r="CJ34" s="10"/>
      <c r="CK34" s="10"/>
      <c r="CL34" s="12"/>
    </row>
    <row r="35" spans="1:90" x14ac:dyDescent="0.25">
      <c r="A35" s="7">
        <v>33</v>
      </c>
      <c r="B35" s="13"/>
      <c r="C35" s="10"/>
      <c r="D35" s="10"/>
      <c r="E35" s="10"/>
      <c r="F35" s="12"/>
      <c r="H35" s="7">
        <v>33</v>
      </c>
      <c r="I35" s="13"/>
      <c r="J35" s="10"/>
      <c r="K35" s="10"/>
      <c r="L35" s="10"/>
      <c r="M35" s="12"/>
      <c r="O35" s="7">
        <v>33</v>
      </c>
      <c r="P35" s="13"/>
      <c r="Q35" s="10"/>
      <c r="R35" s="10"/>
      <c r="S35" s="10"/>
      <c r="T35" s="12"/>
      <c r="V35" s="7">
        <v>33</v>
      </c>
      <c r="W35" s="13"/>
      <c r="X35" s="10"/>
      <c r="Y35" s="10"/>
      <c r="Z35" s="10"/>
      <c r="AA35" s="12"/>
      <c r="AC35" s="7">
        <v>33</v>
      </c>
      <c r="AD35" s="13"/>
      <c r="AE35" s="10"/>
      <c r="AF35" s="10"/>
      <c r="AG35" s="10"/>
      <c r="AH35" s="12"/>
      <c r="AJ35" s="7">
        <v>33</v>
      </c>
      <c r="AK35" s="13"/>
      <c r="AL35" s="10"/>
      <c r="AM35" s="10"/>
      <c r="AN35" s="10"/>
      <c r="AO35" s="12"/>
      <c r="AQ35" s="7">
        <v>33</v>
      </c>
      <c r="AR35" s="13"/>
      <c r="AS35" s="10"/>
      <c r="AT35" s="10"/>
      <c r="AU35" s="10"/>
      <c r="AV35" s="12"/>
      <c r="AX35" s="7">
        <v>33</v>
      </c>
      <c r="AY35" s="13"/>
      <c r="AZ35" s="10"/>
      <c r="BA35" s="10"/>
      <c r="BB35" s="10"/>
      <c r="BC35" s="12"/>
      <c r="BE35" s="7">
        <v>33</v>
      </c>
      <c r="BF35" s="13"/>
      <c r="BG35" s="10"/>
      <c r="BH35" s="10"/>
      <c r="BI35" s="10"/>
      <c r="BJ35" s="12"/>
      <c r="BL35" s="7">
        <v>33</v>
      </c>
      <c r="BM35" s="13"/>
      <c r="BN35" s="10"/>
      <c r="BO35" s="10"/>
      <c r="BP35" s="10"/>
      <c r="BQ35" s="12"/>
      <c r="BS35" s="7">
        <v>33</v>
      </c>
      <c r="BT35" s="13"/>
      <c r="BU35" s="10"/>
      <c r="BV35" s="10"/>
      <c r="BW35" s="10"/>
      <c r="BX35" s="12"/>
      <c r="BZ35" s="7">
        <v>33</v>
      </c>
      <c r="CA35" s="13"/>
      <c r="CB35" s="10"/>
      <c r="CC35" s="10"/>
      <c r="CD35" s="10"/>
      <c r="CE35" s="12"/>
      <c r="CG35" s="7">
        <v>33</v>
      </c>
      <c r="CH35" s="13"/>
      <c r="CI35" s="10"/>
      <c r="CJ35" s="10"/>
      <c r="CK35" s="10"/>
      <c r="CL35" s="12"/>
    </row>
    <row r="36" spans="1:90" x14ac:dyDescent="0.25">
      <c r="A36" s="7">
        <v>34</v>
      </c>
      <c r="B36" s="13"/>
      <c r="C36" s="10"/>
      <c r="D36" s="10"/>
      <c r="E36" s="10"/>
      <c r="F36" s="12"/>
      <c r="H36" s="7">
        <v>34</v>
      </c>
      <c r="I36" s="13"/>
      <c r="J36" s="10"/>
      <c r="K36" s="10"/>
      <c r="L36" s="10"/>
      <c r="M36" s="12"/>
      <c r="O36" s="7">
        <v>34</v>
      </c>
      <c r="P36" s="13"/>
      <c r="Q36" s="10"/>
      <c r="R36" s="10"/>
      <c r="S36" s="10"/>
      <c r="T36" s="12"/>
      <c r="V36" s="7">
        <v>34</v>
      </c>
      <c r="W36" s="13"/>
      <c r="X36" s="10"/>
      <c r="Y36" s="10"/>
      <c r="Z36" s="10"/>
      <c r="AA36" s="12"/>
      <c r="AC36" s="7">
        <v>34</v>
      </c>
      <c r="AD36" s="13"/>
      <c r="AE36" s="10"/>
      <c r="AF36" s="10"/>
      <c r="AG36" s="10"/>
      <c r="AH36" s="12"/>
      <c r="AJ36" s="7">
        <v>34</v>
      </c>
      <c r="AK36" s="13"/>
      <c r="AL36" s="10"/>
      <c r="AM36" s="10"/>
      <c r="AN36" s="10"/>
      <c r="AO36" s="12"/>
      <c r="AQ36" s="7">
        <v>34</v>
      </c>
      <c r="AR36" s="13"/>
      <c r="AS36" s="10"/>
      <c r="AT36" s="10"/>
      <c r="AU36" s="10"/>
      <c r="AV36" s="12"/>
      <c r="AX36" s="7">
        <v>34</v>
      </c>
      <c r="AY36" s="13"/>
      <c r="AZ36" s="10"/>
      <c r="BA36" s="10"/>
      <c r="BB36" s="10"/>
      <c r="BC36" s="12"/>
      <c r="BE36" s="7">
        <v>34</v>
      </c>
      <c r="BF36" s="13"/>
      <c r="BG36" s="10"/>
      <c r="BH36" s="10"/>
      <c r="BI36" s="10"/>
      <c r="BJ36" s="12"/>
      <c r="BL36" s="7">
        <v>34</v>
      </c>
      <c r="BM36" s="13"/>
      <c r="BN36" s="10"/>
      <c r="BO36" s="10"/>
      <c r="BP36" s="10"/>
      <c r="BQ36" s="12"/>
      <c r="BS36" s="7">
        <v>34</v>
      </c>
      <c r="BT36" s="13"/>
      <c r="BU36" s="10"/>
      <c r="BV36" s="10"/>
      <c r="BW36" s="10"/>
      <c r="BX36" s="12"/>
      <c r="BZ36" s="7">
        <v>34</v>
      </c>
      <c r="CA36" s="13"/>
      <c r="CB36" s="10"/>
      <c r="CC36" s="10"/>
      <c r="CD36" s="10"/>
      <c r="CE36" s="12"/>
      <c r="CG36" s="7">
        <v>34</v>
      </c>
      <c r="CH36" s="13"/>
      <c r="CI36" s="10"/>
      <c r="CJ36" s="10"/>
      <c r="CK36" s="10"/>
      <c r="CL36" s="12"/>
    </row>
    <row r="37" spans="1:90" x14ac:dyDescent="0.25">
      <c r="A37" s="7">
        <v>35</v>
      </c>
      <c r="B37" s="13"/>
      <c r="C37" s="10"/>
      <c r="D37" s="10"/>
      <c r="E37" s="10"/>
      <c r="F37" s="12"/>
      <c r="H37" s="7">
        <v>35</v>
      </c>
      <c r="I37" s="13"/>
      <c r="J37" s="10"/>
      <c r="K37" s="10"/>
      <c r="L37" s="10"/>
      <c r="M37" s="12"/>
      <c r="O37" s="7">
        <v>35</v>
      </c>
      <c r="P37" s="13"/>
      <c r="Q37" s="10"/>
      <c r="R37" s="10"/>
      <c r="S37" s="10"/>
      <c r="T37" s="12"/>
      <c r="V37" s="7">
        <v>35</v>
      </c>
      <c r="W37" s="13"/>
      <c r="X37" s="10"/>
      <c r="Y37" s="10"/>
      <c r="Z37" s="10"/>
      <c r="AA37" s="12"/>
      <c r="AC37" s="7">
        <v>35</v>
      </c>
      <c r="AD37" s="13"/>
      <c r="AE37" s="10"/>
      <c r="AF37" s="10"/>
      <c r="AG37" s="10"/>
      <c r="AH37" s="12"/>
      <c r="AJ37" s="7">
        <v>35</v>
      </c>
      <c r="AK37" s="13"/>
      <c r="AL37" s="10"/>
      <c r="AM37" s="10"/>
      <c r="AN37" s="10"/>
      <c r="AO37" s="12"/>
      <c r="AQ37" s="7">
        <v>35</v>
      </c>
      <c r="AR37" s="13"/>
      <c r="AS37" s="10"/>
      <c r="AT37" s="10"/>
      <c r="AU37" s="10"/>
      <c r="AV37" s="12"/>
      <c r="AX37" s="7">
        <v>35</v>
      </c>
      <c r="AY37" s="13"/>
      <c r="AZ37" s="10"/>
      <c r="BA37" s="10"/>
      <c r="BB37" s="10"/>
      <c r="BC37" s="12"/>
      <c r="BE37" s="7">
        <v>35</v>
      </c>
      <c r="BF37" s="13"/>
      <c r="BG37" s="10"/>
      <c r="BH37" s="10"/>
      <c r="BI37" s="10"/>
      <c r="BJ37" s="12"/>
      <c r="BL37" s="7">
        <v>35</v>
      </c>
      <c r="BM37" s="13"/>
      <c r="BN37" s="10"/>
      <c r="BO37" s="10"/>
      <c r="BP37" s="10"/>
      <c r="BQ37" s="12"/>
      <c r="BS37" s="7">
        <v>35</v>
      </c>
      <c r="BT37" s="13"/>
      <c r="BU37" s="10"/>
      <c r="BV37" s="10"/>
      <c r="BW37" s="10"/>
      <c r="BX37" s="12"/>
      <c r="BZ37" s="7">
        <v>35</v>
      </c>
      <c r="CA37" s="13"/>
      <c r="CB37" s="10"/>
      <c r="CC37" s="10"/>
      <c r="CD37" s="10"/>
      <c r="CE37" s="12"/>
      <c r="CG37" s="7">
        <v>35</v>
      </c>
      <c r="CH37" s="13"/>
      <c r="CI37" s="10"/>
      <c r="CJ37" s="10"/>
      <c r="CK37" s="10"/>
      <c r="CL37" s="12"/>
    </row>
    <row r="38" spans="1:90" x14ac:dyDescent="0.25">
      <c r="A38" s="7">
        <v>36</v>
      </c>
      <c r="B38" s="13"/>
      <c r="C38" s="10"/>
      <c r="D38" s="10"/>
      <c r="E38" s="10"/>
      <c r="F38" s="12"/>
      <c r="H38" s="7">
        <v>36</v>
      </c>
      <c r="I38" s="13"/>
      <c r="J38" s="10"/>
      <c r="K38" s="10"/>
      <c r="L38" s="10"/>
      <c r="M38" s="12"/>
      <c r="O38" s="7">
        <v>36</v>
      </c>
      <c r="P38" s="13"/>
      <c r="Q38" s="10"/>
      <c r="R38" s="10"/>
      <c r="S38" s="10"/>
      <c r="T38" s="12"/>
      <c r="V38" s="7">
        <v>36</v>
      </c>
      <c r="W38" s="13"/>
      <c r="X38" s="10"/>
      <c r="Y38" s="10"/>
      <c r="Z38" s="10"/>
      <c r="AA38" s="12"/>
      <c r="AC38" s="7">
        <v>36</v>
      </c>
      <c r="AD38" s="13"/>
      <c r="AE38" s="10"/>
      <c r="AF38" s="10"/>
      <c r="AG38" s="10"/>
      <c r="AH38" s="12"/>
      <c r="AJ38" s="7">
        <v>36</v>
      </c>
      <c r="AK38" s="13"/>
      <c r="AL38" s="10"/>
      <c r="AM38" s="10"/>
      <c r="AN38" s="10"/>
      <c r="AO38" s="12"/>
      <c r="AQ38" s="7">
        <v>36</v>
      </c>
      <c r="AR38" s="13"/>
      <c r="AS38" s="10"/>
      <c r="AT38" s="10"/>
      <c r="AU38" s="10"/>
      <c r="AV38" s="12"/>
      <c r="AX38" s="7">
        <v>36</v>
      </c>
      <c r="AY38" s="13"/>
      <c r="AZ38" s="10"/>
      <c r="BA38" s="10"/>
      <c r="BB38" s="10"/>
      <c r="BC38" s="12"/>
      <c r="BE38" s="7">
        <v>36</v>
      </c>
      <c r="BF38" s="13"/>
      <c r="BG38" s="10"/>
      <c r="BH38" s="10"/>
      <c r="BI38" s="10"/>
      <c r="BJ38" s="12"/>
      <c r="BL38" s="7">
        <v>36</v>
      </c>
      <c r="BM38" s="13"/>
      <c r="BN38" s="10"/>
      <c r="BO38" s="10"/>
      <c r="BP38" s="10"/>
      <c r="BQ38" s="12"/>
      <c r="BS38" s="7">
        <v>36</v>
      </c>
      <c r="BT38" s="13"/>
      <c r="BU38" s="10"/>
      <c r="BV38" s="10"/>
      <c r="BW38" s="10"/>
      <c r="BX38" s="12"/>
      <c r="BZ38" s="7">
        <v>36</v>
      </c>
      <c r="CA38" s="13"/>
      <c r="CB38" s="10"/>
      <c r="CC38" s="10"/>
      <c r="CD38" s="10"/>
      <c r="CE38" s="12"/>
      <c r="CG38" s="7">
        <v>36</v>
      </c>
      <c r="CH38" s="13"/>
      <c r="CI38" s="10"/>
      <c r="CJ38" s="10"/>
      <c r="CK38" s="10"/>
      <c r="CL38" s="12"/>
    </row>
    <row r="39" spans="1:90" x14ac:dyDescent="0.25">
      <c r="A39" s="7">
        <v>37</v>
      </c>
      <c r="B39" s="13"/>
      <c r="C39" s="10"/>
      <c r="D39" s="10"/>
      <c r="E39" s="10"/>
      <c r="F39" s="12"/>
      <c r="H39" s="7">
        <v>37</v>
      </c>
      <c r="I39" s="13"/>
      <c r="J39" s="10"/>
      <c r="K39" s="10"/>
      <c r="L39" s="10"/>
      <c r="M39" s="12"/>
      <c r="O39" s="7">
        <v>37</v>
      </c>
      <c r="P39" s="13"/>
      <c r="Q39" s="10"/>
      <c r="R39" s="10"/>
      <c r="S39" s="10"/>
      <c r="T39" s="12"/>
      <c r="V39" s="7">
        <v>37</v>
      </c>
      <c r="W39" s="13"/>
      <c r="X39" s="10"/>
      <c r="Y39" s="10"/>
      <c r="Z39" s="10"/>
      <c r="AA39" s="12"/>
      <c r="AC39" s="7">
        <v>37</v>
      </c>
      <c r="AD39" s="13"/>
      <c r="AE39" s="10"/>
      <c r="AF39" s="10"/>
      <c r="AG39" s="10"/>
      <c r="AH39" s="12"/>
      <c r="AJ39" s="7">
        <v>37</v>
      </c>
      <c r="AK39" s="13"/>
      <c r="AL39" s="10"/>
      <c r="AM39" s="10"/>
      <c r="AN39" s="10"/>
      <c r="AO39" s="12"/>
      <c r="AQ39" s="7">
        <v>37</v>
      </c>
      <c r="AR39" s="13"/>
      <c r="AS39" s="10"/>
      <c r="AT39" s="10"/>
      <c r="AU39" s="10"/>
      <c r="AV39" s="12"/>
      <c r="AX39" s="7">
        <v>37</v>
      </c>
      <c r="AY39" s="13"/>
      <c r="AZ39" s="10"/>
      <c r="BA39" s="10"/>
      <c r="BB39" s="10"/>
      <c r="BC39" s="12"/>
      <c r="BE39" s="7">
        <v>37</v>
      </c>
      <c r="BF39" s="13"/>
      <c r="BG39" s="10"/>
      <c r="BH39" s="10"/>
      <c r="BI39" s="10"/>
      <c r="BJ39" s="12"/>
      <c r="BL39" s="7">
        <v>37</v>
      </c>
      <c r="BM39" s="13"/>
      <c r="BN39" s="10"/>
      <c r="BO39" s="10"/>
      <c r="BP39" s="10"/>
      <c r="BQ39" s="12"/>
      <c r="BS39" s="7">
        <v>37</v>
      </c>
      <c r="BT39" s="13"/>
      <c r="BU39" s="10"/>
      <c r="BV39" s="10"/>
      <c r="BW39" s="10"/>
      <c r="BX39" s="12"/>
      <c r="BZ39" s="7">
        <v>37</v>
      </c>
      <c r="CA39" s="13"/>
      <c r="CB39" s="10"/>
      <c r="CC39" s="10"/>
      <c r="CD39" s="10"/>
      <c r="CE39" s="12"/>
      <c r="CG39" s="7">
        <v>37</v>
      </c>
      <c r="CH39" s="13"/>
      <c r="CI39" s="10"/>
      <c r="CJ39" s="10"/>
      <c r="CK39" s="10"/>
      <c r="CL39" s="12"/>
    </row>
    <row r="40" spans="1:90" x14ac:dyDescent="0.25">
      <c r="A40" s="7">
        <v>38</v>
      </c>
      <c r="B40" s="13"/>
      <c r="C40" s="10"/>
      <c r="D40" s="10"/>
      <c r="E40" s="10"/>
      <c r="F40" s="12"/>
      <c r="H40" s="7">
        <v>38</v>
      </c>
      <c r="I40" s="13"/>
      <c r="J40" s="10"/>
      <c r="K40" s="10"/>
      <c r="L40" s="10"/>
      <c r="M40" s="12"/>
      <c r="O40" s="7">
        <v>38</v>
      </c>
      <c r="P40" s="13"/>
      <c r="Q40" s="10"/>
      <c r="R40" s="10"/>
      <c r="S40" s="10"/>
      <c r="T40" s="12"/>
      <c r="V40" s="7">
        <v>38</v>
      </c>
      <c r="W40" s="13"/>
      <c r="X40" s="10"/>
      <c r="Y40" s="10"/>
      <c r="Z40" s="10"/>
      <c r="AA40" s="12"/>
      <c r="AC40" s="7">
        <v>38</v>
      </c>
      <c r="AD40" s="13"/>
      <c r="AE40" s="10"/>
      <c r="AF40" s="10"/>
      <c r="AG40" s="10"/>
      <c r="AH40" s="12"/>
      <c r="AJ40" s="7">
        <v>38</v>
      </c>
      <c r="AK40" s="13"/>
      <c r="AL40" s="10"/>
      <c r="AM40" s="10"/>
      <c r="AN40" s="10"/>
      <c r="AO40" s="12"/>
      <c r="AQ40" s="7">
        <v>38</v>
      </c>
      <c r="AR40" s="13"/>
      <c r="AS40" s="10"/>
      <c r="AT40" s="10"/>
      <c r="AU40" s="10"/>
      <c r="AV40" s="12"/>
      <c r="AX40" s="7">
        <v>38</v>
      </c>
      <c r="AY40" s="13"/>
      <c r="AZ40" s="10"/>
      <c r="BA40" s="10"/>
      <c r="BB40" s="10"/>
      <c r="BC40" s="12"/>
      <c r="BE40" s="7">
        <v>38</v>
      </c>
      <c r="BF40" s="13"/>
      <c r="BG40" s="10"/>
      <c r="BH40" s="10"/>
      <c r="BI40" s="10"/>
      <c r="BJ40" s="12"/>
      <c r="BL40" s="7">
        <v>38</v>
      </c>
      <c r="BM40" s="13"/>
      <c r="BN40" s="10"/>
      <c r="BO40" s="10"/>
      <c r="BP40" s="10"/>
      <c r="BQ40" s="12"/>
      <c r="BS40" s="7">
        <v>38</v>
      </c>
      <c r="BT40" s="13"/>
      <c r="BU40" s="10"/>
      <c r="BV40" s="10"/>
      <c r="BW40" s="10"/>
      <c r="BX40" s="12"/>
      <c r="BZ40" s="7">
        <v>38</v>
      </c>
      <c r="CA40" s="13"/>
      <c r="CB40" s="10"/>
      <c r="CC40" s="10"/>
      <c r="CD40" s="10"/>
      <c r="CE40" s="12"/>
      <c r="CG40" s="7">
        <v>38</v>
      </c>
      <c r="CH40" s="13"/>
      <c r="CI40" s="10"/>
      <c r="CJ40" s="10"/>
      <c r="CK40" s="10"/>
      <c r="CL40" s="12"/>
    </row>
    <row r="41" spans="1:90" x14ac:dyDescent="0.25">
      <c r="A41" s="7">
        <v>39</v>
      </c>
      <c r="B41" s="13"/>
      <c r="C41" s="10"/>
      <c r="D41" s="10"/>
      <c r="E41" s="10"/>
      <c r="F41" s="12"/>
      <c r="H41" s="7">
        <v>39</v>
      </c>
      <c r="I41" s="13"/>
      <c r="J41" s="10"/>
      <c r="K41" s="10"/>
      <c r="L41" s="10"/>
      <c r="M41" s="12"/>
      <c r="O41" s="7">
        <v>39</v>
      </c>
      <c r="P41" s="13"/>
      <c r="Q41" s="10"/>
      <c r="R41" s="10"/>
      <c r="S41" s="10"/>
      <c r="T41" s="12"/>
      <c r="V41" s="7">
        <v>39</v>
      </c>
      <c r="W41" s="13"/>
      <c r="X41" s="10"/>
      <c r="Y41" s="10"/>
      <c r="Z41" s="10"/>
      <c r="AA41" s="12"/>
      <c r="AC41" s="7">
        <v>39</v>
      </c>
      <c r="AD41" s="13"/>
      <c r="AE41" s="10"/>
      <c r="AF41" s="10"/>
      <c r="AG41" s="10"/>
      <c r="AH41" s="12"/>
      <c r="AJ41" s="7">
        <v>39</v>
      </c>
      <c r="AK41" s="13"/>
      <c r="AL41" s="10"/>
      <c r="AM41" s="10"/>
      <c r="AN41" s="10"/>
      <c r="AO41" s="12"/>
      <c r="AQ41" s="7">
        <v>39</v>
      </c>
      <c r="AR41" s="13"/>
      <c r="AS41" s="10"/>
      <c r="AT41" s="10"/>
      <c r="AU41" s="10"/>
      <c r="AV41" s="12"/>
      <c r="AX41" s="7">
        <v>39</v>
      </c>
      <c r="AY41" s="13"/>
      <c r="AZ41" s="10"/>
      <c r="BA41" s="10"/>
      <c r="BB41" s="10"/>
      <c r="BC41" s="12"/>
      <c r="BE41" s="7">
        <v>39</v>
      </c>
      <c r="BF41" s="13"/>
      <c r="BG41" s="10"/>
      <c r="BH41" s="10"/>
      <c r="BI41" s="10"/>
      <c r="BJ41" s="12"/>
      <c r="BL41" s="7">
        <v>39</v>
      </c>
      <c r="BM41" s="13"/>
      <c r="BN41" s="10"/>
      <c r="BO41" s="10"/>
      <c r="BP41" s="10"/>
      <c r="BQ41" s="12"/>
      <c r="BS41" s="7">
        <v>39</v>
      </c>
      <c r="BT41" s="13"/>
      <c r="BU41" s="10"/>
      <c r="BV41" s="10"/>
      <c r="BW41" s="10"/>
      <c r="BX41" s="12"/>
      <c r="BZ41" s="7">
        <v>39</v>
      </c>
      <c r="CA41" s="13"/>
      <c r="CB41" s="10"/>
      <c r="CC41" s="10"/>
      <c r="CD41" s="10"/>
      <c r="CE41" s="12"/>
      <c r="CG41" s="7">
        <v>39</v>
      </c>
      <c r="CH41" s="13"/>
      <c r="CI41" s="10"/>
      <c r="CJ41" s="10"/>
      <c r="CK41" s="10"/>
      <c r="CL41" s="12"/>
    </row>
    <row r="42" spans="1:90" x14ac:dyDescent="0.25">
      <c r="A42" s="7">
        <v>40</v>
      </c>
      <c r="B42" s="13"/>
      <c r="C42" s="10"/>
      <c r="D42" s="10"/>
      <c r="E42" s="10"/>
      <c r="F42" s="12"/>
      <c r="H42" s="7">
        <v>40</v>
      </c>
      <c r="I42" s="13"/>
      <c r="J42" s="10"/>
      <c r="K42" s="10"/>
      <c r="L42" s="10"/>
      <c r="M42" s="12"/>
      <c r="O42" s="7">
        <v>40</v>
      </c>
      <c r="P42" s="13"/>
      <c r="Q42" s="10"/>
      <c r="R42" s="10"/>
      <c r="S42" s="10"/>
      <c r="T42" s="12"/>
      <c r="V42" s="7">
        <v>40</v>
      </c>
      <c r="W42" s="13"/>
      <c r="X42" s="10"/>
      <c r="Y42" s="10"/>
      <c r="Z42" s="10"/>
      <c r="AA42" s="12"/>
      <c r="AC42" s="7">
        <v>40</v>
      </c>
      <c r="AD42" s="13"/>
      <c r="AE42" s="10"/>
      <c r="AF42" s="10"/>
      <c r="AG42" s="10"/>
      <c r="AH42" s="12"/>
      <c r="AJ42" s="7">
        <v>40</v>
      </c>
      <c r="AK42" s="13"/>
      <c r="AL42" s="10"/>
      <c r="AM42" s="10"/>
      <c r="AN42" s="10"/>
      <c r="AO42" s="12"/>
      <c r="AQ42" s="7">
        <v>40</v>
      </c>
      <c r="AR42" s="13"/>
      <c r="AS42" s="10"/>
      <c r="AT42" s="10"/>
      <c r="AU42" s="10"/>
      <c r="AV42" s="12"/>
      <c r="AX42" s="7">
        <v>40</v>
      </c>
      <c r="AY42" s="13"/>
      <c r="AZ42" s="10"/>
      <c r="BA42" s="10"/>
      <c r="BB42" s="10"/>
      <c r="BC42" s="12"/>
      <c r="BE42" s="7">
        <v>40</v>
      </c>
      <c r="BF42" s="13"/>
      <c r="BG42" s="10"/>
      <c r="BH42" s="10"/>
      <c r="BI42" s="10"/>
      <c r="BJ42" s="12"/>
      <c r="BL42" s="7">
        <v>40</v>
      </c>
      <c r="BM42" s="13"/>
      <c r="BN42" s="10"/>
      <c r="BO42" s="10"/>
      <c r="BP42" s="10"/>
      <c r="BQ42" s="12"/>
      <c r="BS42" s="7">
        <v>40</v>
      </c>
      <c r="BT42" s="13"/>
      <c r="BU42" s="10"/>
      <c r="BV42" s="10"/>
      <c r="BW42" s="10"/>
      <c r="BX42" s="12"/>
      <c r="BZ42" s="7">
        <v>40</v>
      </c>
      <c r="CA42" s="13"/>
      <c r="CB42" s="10"/>
      <c r="CC42" s="10"/>
      <c r="CD42" s="10"/>
      <c r="CE42" s="12"/>
      <c r="CG42" s="7">
        <v>40</v>
      </c>
      <c r="CH42" s="13"/>
      <c r="CI42" s="10"/>
      <c r="CJ42" s="10"/>
      <c r="CK42" s="10"/>
      <c r="CL42" s="12"/>
    </row>
    <row r="43" spans="1:90" x14ac:dyDescent="0.25">
      <c r="A43" s="7">
        <v>41</v>
      </c>
      <c r="B43" s="13"/>
      <c r="C43" s="10"/>
      <c r="D43" s="10"/>
      <c r="E43" s="10"/>
      <c r="F43" s="12"/>
      <c r="H43" s="7">
        <v>41</v>
      </c>
      <c r="I43" s="13"/>
      <c r="J43" s="10"/>
      <c r="K43" s="10"/>
      <c r="L43" s="10"/>
      <c r="M43" s="12"/>
      <c r="O43" s="7">
        <v>41</v>
      </c>
      <c r="P43" s="13"/>
      <c r="Q43" s="10"/>
      <c r="R43" s="10"/>
      <c r="S43" s="10"/>
      <c r="T43" s="12"/>
      <c r="V43" s="7">
        <v>41</v>
      </c>
      <c r="W43" s="13"/>
      <c r="X43" s="10"/>
      <c r="Y43" s="10"/>
      <c r="Z43" s="10"/>
      <c r="AA43" s="12"/>
      <c r="AC43" s="7">
        <v>41</v>
      </c>
      <c r="AD43" s="13"/>
      <c r="AE43" s="10"/>
      <c r="AF43" s="10"/>
      <c r="AG43" s="10"/>
      <c r="AH43" s="12"/>
      <c r="AJ43" s="7">
        <v>41</v>
      </c>
      <c r="AK43" s="13"/>
      <c r="AL43" s="10"/>
      <c r="AM43" s="10"/>
      <c r="AN43" s="10"/>
      <c r="AO43" s="12"/>
      <c r="AQ43" s="7">
        <v>41</v>
      </c>
      <c r="AR43" s="13"/>
      <c r="AS43" s="10"/>
      <c r="AT43" s="10"/>
      <c r="AU43" s="10"/>
      <c r="AV43" s="12"/>
      <c r="AX43" s="7">
        <v>41</v>
      </c>
      <c r="AY43" s="13"/>
      <c r="AZ43" s="10"/>
      <c r="BA43" s="10"/>
      <c r="BB43" s="10"/>
      <c r="BC43" s="12"/>
      <c r="BE43" s="7">
        <v>41</v>
      </c>
      <c r="BF43" s="13"/>
      <c r="BG43" s="10"/>
      <c r="BH43" s="10"/>
      <c r="BI43" s="10"/>
      <c r="BJ43" s="12"/>
      <c r="BL43" s="7">
        <v>41</v>
      </c>
      <c r="BM43" s="13"/>
      <c r="BN43" s="10"/>
      <c r="BO43" s="10"/>
      <c r="BP43" s="10"/>
      <c r="BQ43" s="12"/>
      <c r="BS43" s="7">
        <v>41</v>
      </c>
      <c r="BT43" s="13"/>
      <c r="BU43" s="10"/>
      <c r="BV43" s="10"/>
      <c r="BW43" s="10"/>
      <c r="BX43" s="12"/>
      <c r="BZ43" s="7">
        <v>41</v>
      </c>
      <c r="CA43" s="13"/>
      <c r="CB43" s="10"/>
      <c r="CC43" s="10"/>
      <c r="CD43" s="10"/>
      <c r="CE43" s="12"/>
      <c r="CG43" s="7">
        <v>41</v>
      </c>
      <c r="CH43" s="13"/>
      <c r="CI43" s="10"/>
      <c r="CJ43" s="10"/>
      <c r="CK43" s="10"/>
      <c r="CL43" s="12"/>
    </row>
    <row r="44" spans="1:90" x14ac:dyDescent="0.25">
      <c r="A44" s="7">
        <v>42</v>
      </c>
      <c r="B44" s="13"/>
      <c r="C44" s="10"/>
      <c r="D44" s="10"/>
      <c r="E44" s="10"/>
      <c r="F44" s="12"/>
      <c r="H44" s="7">
        <v>42</v>
      </c>
      <c r="I44" s="13"/>
      <c r="J44" s="10"/>
      <c r="K44" s="10"/>
      <c r="L44" s="10"/>
      <c r="M44" s="12"/>
      <c r="O44" s="7">
        <v>42</v>
      </c>
      <c r="P44" s="13"/>
      <c r="Q44" s="10"/>
      <c r="R44" s="10"/>
      <c r="S44" s="10"/>
      <c r="T44" s="12"/>
      <c r="V44" s="7">
        <v>42</v>
      </c>
      <c r="W44" s="13"/>
      <c r="X44" s="10"/>
      <c r="Y44" s="10"/>
      <c r="Z44" s="10"/>
      <c r="AA44" s="12"/>
      <c r="AC44" s="7">
        <v>42</v>
      </c>
      <c r="AD44" s="13"/>
      <c r="AE44" s="10"/>
      <c r="AF44" s="10"/>
      <c r="AG44" s="10"/>
      <c r="AH44" s="12"/>
      <c r="AJ44" s="7">
        <v>42</v>
      </c>
      <c r="AK44" s="13"/>
      <c r="AL44" s="10"/>
      <c r="AM44" s="10"/>
      <c r="AN44" s="10"/>
      <c r="AO44" s="12"/>
      <c r="AQ44" s="7">
        <v>42</v>
      </c>
      <c r="AR44" s="13"/>
      <c r="AS44" s="10"/>
      <c r="AT44" s="10"/>
      <c r="AU44" s="10"/>
      <c r="AV44" s="12"/>
      <c r="AX44" s="7">
        <v>42</v>
      </c>
      <c r="AY44" s="13"/>
      <c r="AZ44" s="10"/>
      <c r="BA44" s="10"/>
      <c r="BB44" s="10"/>
      <c r="BC44" s="12"/>
      <c r="BE44" s="7">
        <v>42</v>
      </c>
      <c r="BF44" s="13"/>
      <c r="BG44" s="10"/>
      <c r="BH44" s="10"/>
      <c r="BI44" s="10"/>
      <c r="BJ44" s="12"/>
      <c r="BL44" s="7">
        <v>42</v>
      </c>
      <c r="BM44" s="13"/>
      <c r="BN44" s="10"/>
      <c r="BO44" s="10"/>
      <c r="BP44" s="10"/>
      <c r="BQ44" s="12"/>
      <c r="BS44" s="7">
        <v>42</v>
      </c>
      <c r="BT44" s="13"/>
      <c r="BU44" s="10"/>
      <c r="BV44" s="10"/>
      <c r="BW44" s="10"/>
      <c r="BX44" s="12"/>
      <c r="BZ44" s="7">
        <v>42</v>
      </c>
      <c r="CA44" s="13"/>
      <c r="CB44" s="10"/>
      <c r="CC44" s="10"/>
      <c r="CD44" s="10"/>
      <c r="CE44" s="12"/>
      <c r="CG44" s="7">
        <v>42</v>
      </c>
      <c r="CH44" s="13"/>
      <c r="CI44" s="10"/>
      <c r="CJ44" s="10"/>
      <c r="CK44" s="10"/>
      <c r="CL44" s="12"/>
    </row>
    <row r="45" spans="1:90" x14ac:dyDescent="0.25">
      <c r="A45" s="7">
        <v>43</v>
      </c>
      <c r="B45" s="13"/>
      <c r="C45" s="10"/>
      <c r="D45" s="10"/>
      <c r="E45" s="10"/>
      <c r="F45" s="12"/>
      <c r="H45" s="7">
        <v>43</v>
      </c>
      <c r="I45" s="13"/>
      <c r="J45" s="10"/>
      <c r="K45" s="10"/>
      <c r="L45" s="10"/>
      <c r="M45" s="12"/>
      <c r="O45" s="7">
        <v>43</v>
      </c>
      <c r="P45" s="13"/>
      <c r="Q45" s="10"/>
      <c r="R45" s="10"/>
      <c r="S45" s="10"/>
      <c r="T45" s="12"/>
      <c r="V45" s="7">
        <v>43</v>
      </c>
      <c r="W45" s="13"/>
      <c r="X45" s="10"/>
      <c r="Y45" s="10"/>
      <c r="Z45" s="10"/>
      <c r="AA45" s="12"/>
      <c r="AC45" s="7">
        <v>43</v>
      </c>
      <c r="AD45" s="13"/>
      <c r="AE45" s="10"/>
      <c r="AF45" s="10"/>
      <c r="AG45" s="10"/>
      <c r="AH45" s="12"/>
      <c r="AJ45" s="7">
        <v>43</v>
      </c>
      <c r="AK45" s="13"/>
      <c r="AL45" s="10"/>
      <c r="AM45" s="10"/>
      <c r="AN45" s="10"/>
      <c r="AO45" s="12"/>
      <c r="AQ45" s="7">
        <v>43</v>
      </c>
      <c r="AR45" s="13"/>
      <c r="AS45" s="10"/>
      <c r="AT45" s="10"/>
      <c r="AU45" s="10"/>
      <c r="AV45" s="12"/>
      <c r="AX45" s="7">
        <v>43</v>
      </c>
      <c r="AY45" s="13"/>
      <c r="AZ45" s="10"/>
      <c r="BA45" s="10"/>
      <c r="BB45" s="10"/>
      <c r="BC45" s="12"/>
      <c r="BE45" s="7">
        <v>43</v>
      </c>
      <c r="BF45" s="13"/>
      <c r="BG45" s="10"/>
      <c r="BH45" s="10"/>
      <c r="BI45" s="10"/>
      <c r="BJ45" s="12"/>
      <c r="BL45" s="7">
        <v>43</v>
      </c>
      <c r="BM45" s="13"/>
      <c r="BN45" s="10"/>
      <c r="BO45" s="10"/>
      <c r="BP45" s="10"/>
      <c r="BQ45" s="12"/>
      <c r="BS45" s="7">
        <v>43</v>
      </c>
      <c r="BT45" s="13"/>
      <c r="BU45" s="10"/>
      <c r="BV45" s="10"/>
      <c r="BW45" s="10"/>
      <c r="BX45" s="12"/>
      <c r="BZ45" s="7">
        <v>43</v>
      </c>
      <c r="CA45" s="13"/>
      <c r="CB45" s="10"/>
      <c r="CC45" s="10"/>
      <c r="CD45" s="10"/>
      <c r="CE45" s="12"/>
      <c r="CG45" s="7">
        <v>43</v>
      </c>
      <c r="CH45" s="13"/>
      <c r="CI45" s="10"/>
      <c r="CJ45" s="10"/>
      <c r="CK45" s="10"/>
      <c r="CL45" s="12"/>
    </row>
    <row r="46" spans="1:90" x14ac:dyDescent="0.25">
      <c r="A46" s="7">
        <v>44</v>
      </c>
      <c r="B46" s="13"/>
      <c r="C46" s="10"/>
      <c r="D46" s="10"/>
      <c r="E46" s="10"/>
      <c r="F46" s="12"/>
      <c r="H46" s="7">
        <v>44</v>
      </c>
      <c r="I46" s="13"/>
      <c r="J46" s="10"/>
      <c r="K46" s="10"/>
      <c r="L46" s="10"/>
      <c r="M46" s="12"/>
      <c r="O46" s="7">
        <v>44</v>
      </c>
      <c r="P46" s="13"/>
      <c r="Q46" s="10"/>
      <c r="R46" s="10"/>
      <c r="S46" s="10"/>
      <c r="T46" s="12"/>
      <c r="V46" s="7">
        <v>44</v>
      </c>
      <c r="W46" s="13"/>
      <c r="X46" s="10"/>
      <c r="Y46" s="10"/>
      <c r="Z46" s="10"/>
      <c r="AA46" s="12"/>
      <c r="AC46" s="7">
        <v>44</v>
      </c>
      <c r="AD46" s="13"/>
      <c r="AE46" s="10"/>
      <c r="AF46" s="10"/>
      <c r="AG46" s="10"/>
      <c r="AH46" s="12"/>
      <c r="AJ46" s="7">
        <v>44</v>
      </c>
      <c r="AK46" s="13"/>
      <c r="AL46" s="10"/>
      <c r="AM46" s="10"/>
      <c r="AN46" s="10"/>
      <c r="AO46" s="12"/>
      <c r="AQ46" s="7">
        <v>44</v>
      </c>
      <c r="AR46" s="13"/>
      <c r="AS46" s="10"/>
      <c r="AT46" s="10"/>
      <c r="AU46" s="10"/>
      <c r="AV46" s="12"/>
      <c r="AX46" s="7">
        <v>44</v>
      </c>
      <c r="AY46" s="13"/>
      <c r="AZ46" s="10"/>
      <c r="BA46" s="10"/>
      <c r="BB46" s="10"/>
      <c r="BC46" s="12"/>
      <c r="BE46" s="7">
        <v>44</v>
      </c>
      <c r="BF46" s="13"/>
      <c r="BG46" s="10"/>
      <c r="BH46" s="10"/>
      <c r="BI46" s="10"/>
      <c r="BJ46" s="12"/>
      <c r="BL46" s="7">
        <v>44</v>
      </c>
      <c r="BM46" s="13"/>
      <c r="BN46" s="10"/>
      <c r="BO46" s="10"/>
      <c r="BP46" s="10"/>
      <c r="BQ46" s="12"/>
      <c r="BS46" s="7">
        <v>44</v>
      </c>
      <c r="BT46" s="13"/>
      <c r="BU46" s="10"/>
      <c r="BV46" s="10"/>
      <c r="BW46" s="10"/>
      <c r="BX46" s="12"/>
      <c r="BZ46" s="7">
        <v>44</v>
      </c>
      <c r="CA46" s="13"/>
      <c r="CB46" s="10"/>
      <c r="CC46" s="10"/>
      <c r="CD46" s="10"/>
      <c r="CE46" s="12"/>
      <c r="CG46" s="7">
        <v>44</v>
      </c>
      <c r="CH46" s="13"/>
      <c r="CI46" s="10"/>
      <c r="CJ46" s="10"/>
      <c r="CK46" s="10"/>
      <c r="CL46" s="12"/>
    </row>
    <row r="47" spans="1:90" x14ac:dyDescent="0.25">
      <c r="A47" s="7">
        <v>45</v>
      </c>
      <c r="B47" s="13"/>
      <c r="C47" s="10"/>
      <c r="D47" s="10"/>
      <c r="E47" s="10"/>
      <c r="F47" s="12"/>
      <c r="H47" s="7">
        <v>45</v>
      </c>
      <c r="I47" s="13"/>
      <c r="J47" s="10"/>
      <c r="K47" s="10"/>
      <c r="L47" s="10"/>
      <c r="M47" s="12"/>
      <c r="O47" s="7">
        <v>45</v>
      </c>
      <c r="P47" s="13"/>
      <c r="Q47" s="10"/>
      <c r="R47" s="10"/>
      <c r="S47" s="10"/>
      <c r="T47" s="12"/>
      <c r="V47" s="7">
        <v>45</v>
      </c>
      <c r="W47" s="13"/>
      <c r="X47" s="10"/>
      <c r="Y47" s="10"/>
      <c r="Z47" s="10"/>
      <c r="AA47" s="12"/>
      <c r="AC47" s="7">
        <v>45</v>
      </c>
      <c r="AD47" s="13"/>
      <c r="AE47" s="10"/>
      <c r="AF47" s="10"/>
      <c r="AG47" s="10"/>
      <c r="AH47" s="12"/>
      <c r="AJ47" s="7">
        <v>45</v>
      </c>
      <c r="AK47" s="13"/>
      <c r="AL47" s="10"/>
      <c r="AM47" s="10"/>
      <c r="AN47" s="10"/>
      <c r="AO47" s="12"/>
      <c r="AQ47" s="7">
        <v>45</v>
      </c>
      <c r="AR47" s="13"/>
      <c r="AS47" s="10"/>
      <c r="AT47" s="10"/>
      <c r="AU47" s="10"/>
      <c r="AV47" s="12"/>
      <c r="AX47" s="7">
        <v>45</v>
      </c>
      <c r="AY47" s="13"/>
      <c r="AZ47" s="10"/>
      <c r="BA47" s="10"/>
      <c r="BB47" s="10"/>
      <c r="BC47" s="12"/>
      <c r="BE47" s="7">
        <v>45</v>
      </c>
      <c r="BF47" s="13"/>
      <c r="BG47" s="10"/>
      <c r="BH47" s="10"/>
      <c r="BI47" s="10"/>
      <c r="BJ47" s="12"/>
      <c r="BL47" s="7">
        <v>45</v>
      </c>
      <c r="BM47" s="13"/>
      <c r="BN47" s="10"/>
      <c r="BO47" s="10"/>
      <c r="BP47" s="10"/>
      <c r="BQ47" s="12"/>
      <c r="BS47" s="7">
        <v>45</v>
      </c>
      <c r="BT47" s="13"/>
      <c r="BU47" s="10"/>
      <c r="BV47" s="10"/>
      <c r="BW47" s="10"/>
      <c r="BX47" s="12"/>
      <c r="BZ47" s="7">
        <v>45</v>
      </c>
      <c r="CA47" s="13"/>
      <c r="CB47" s="10"/>
      <c r="CC47" s="10"/>
      <c r="CD47" s="10"/>
      <c r="CE47" s="12"/>
      <c r="CG47" s="7">
        <v>45</v>
      </c>
      <c r="CH47" s="13"/>
      <c r="CI47" s="10"/>
      <c r="CJ47" s="10"/>
      <c r="CK47" s="10"/>
      <c r="CL47" s="12"/>
    </row>
    <row r="48" spans="1:90" x14ac:dyDescent="0.25">
      <c r="A48" s="7">
        <v>46</v>
      </c>
      <c r="B48" s="13"/>
      <c r="C48" s="10"/>
      <c r="D48" s="10"/>
      <c r="E48" s="10"/>
      <c r="F48" s="12"/>
      <c r="H48" s="7">
        <v>46</v>
      </c>
      <c r="I48" s="13"/>
      <c r="J48" s="10"/>
      <c r="K48" s="10"/>
      <c r="L48" s="10"/>
      <c r="M48" s="12"/>
      <c r="O48" s="7">
        <v>46</v>
      </c>
      <c r="P48" s="13"/>
      <c r="Q48" s="10"/>
      <c r="R48" s="10"/>
      <c r="S48" s="10"/>
      <c r="T48" s="12"/>
      <c r="V48" s="7">
        <v>46</v>
      </c>
      <c r="W48" s="13"/>
      <c r="X48" s="10"/>
      <c r="Y48" s="10"/>
      <c r="Z48" s="10"/>
      <c r="AA48" s="12"/>
      <c r="AC48" s="7">
        <v>46</v>
      </c>
      <c r="AD48" s="13"/>
      <c r="AE48" s="10"/>
      <c r="AF48" s="10"/>
      <c r="AG48" s="10"/>
      <c r="AH48" s="12"/>
      <c r="AJ48" s="7">
        <v>46</v>
      </c>
      <c r="AK48" s="13"/>
      <c r="AL48" s="10"/>
      <c r="AM48" s="10"/>
      <c r="AN48" s="10"/>
      <c r="AO48" s="12"/>
      <c r="AQ48" s="7">
        <v>46</v>
      </c>
      <c r="AR48" s="13"/>
      <c r="AS48" s="10"/>
      <c r="AT48" s="10"/>
      <c r="AU48" s="10"/>
      <c r="AV48" s="12"/>
      <c r="AX48" s="7">
        <v>46</v>
      </c>
      <c r="AY48" s="13"/>
      <c r="AZ48" s="10"/>
      <c r="BA48" s="10"/>
      <c r="BB48" s="10"/>
      <c r="BC48" s="12"/>
      <c r="BE48" s="7">
        <v>46</v>
      </c>
      <c r="BF48" s="13"/>
      <c r="BG48" s="10"/>
      <c r="BH48" s="10"/>
      <c r="BI48" s="10"/>
      <c r="BJ48" s="12"/>
      <c r="BL48" s="7">
        <v>46</v>
      </c>
      <c r="BM48" s="13"/>
      <c r="BN48" s="10"/>
      <c r="BO48" s="10"/>
      <c r="BP48" s="10"/>
      <c r="BQ48" s="12"/>
      <c r="BS48" s="7">
        <v>46</v>
      </c>
      <c r="BT48" s="13"/>
      <c r="BU48" s="10"/>
      <c r="BV48" s="10"/>
      <c r="BW48" s="10"/>
      <c r="BX48" s="12"/>
      <c r="BZ48" s="7">
        <v>46</v>
      </c>
      <c r="CA48" s="13"/>
      <c r="CB48" s="10"/>
      <c r="CC48" s="10"/>
      <c r="CD48" s="10"/>
      <c r="CE48" s="12"/>
      <c r="CG48" s="7">
        <v>46</v>
      </c>
      <c r="CH48" s="13"/>
      <c r="CI48" s="10"/>
      <c r="CJ48" s="10"/>
      <c r="CK48" s="10"/>
      <c r="CL48" s="12"/>
    </row>
    <row r="49" spans="1:90" x14ac:dyDescent="0.25">
      <c r="A49" s="7">
        <v>47</v>
      </c>
      <c r="B49" s="13"/>
      <c r="C49" s="10"/>
      <c r="D49" s="10"/>
      <c r="E49" s="10"/>
      <c r="F49" s="12"/>
      <c r="H49" s="7">
        <v>47</v>
      </c>
      <c r="I49" s="13"/>
      <c r="J49" s="10"/>
      <c r="K49" s="10"/>
      <c r="L49" s="10"/>
      <c r="M49" s="12"/>
      <c r="O49" s="7">
        <v>47</v>
      </c>
      <c r="P49" s="13"/>
      <c r="Q49" s="10"/>
      <c r="R49" s="10"/>
      <c r="S49" s="10"/>
      <c r="T49" s="12"/>
      <c r="V49" s="7">
        <v>47</v>
      </c>
      <c r="W49" s="13"/>
      <c r="X49" s="10"/>
      <c r="Y49" s="10"/>
      <c r="Z49" s="10"/>
      <c r="AA49" s="12"/>
      <c r="AC49" s="7">
        <v>47</v>
      </c>
      <c r="AD49" s="13"/>
      <c r="AE49" s="10"/>
      <c r="AF49" s="10"/>
      <c r="AG49" s="10"/>
      <c r="AH49" s="12"/>
      <c r="AJ49" s="7">
        <v>47</v>
      </c>
      <c r="AK49" s="13"/>
      <c r="AL49" s="10"/>
      <c r="AM49" s="10"/>
      <c r="AN49" s="10"/>
      <c r="AO49" s="12"/>
      <c r="AQ49" s="7">
        <v>47</v>
      </c>
      <c r="AR49" s="13"/>
      <c r="AS49" s="10"/>
      <c r="AT49" s="10"/>
      <c r="AU49" s="10"/>
      <c r="AV49" s="12"/>
      <c r="AX49" s="7">
        <v>47</v>
      </c>
      <c r="AY49" s="13"/>
      <c r="AZ49" s="10"/>
      <c r="BA49" s="10"/>
      <c r="BB49" s="10"/>
      <c r="BC49" s="12"/>
      <c r="BE49" s="7">
        <v>47</v>
      </c>
      <c r="BF49" s="13"/>
      <c r="BG49" s="10"/>
      <c r="BH49" s="10"/>
      <c r="BI49" s="10"/>
      <c r="BJ49" s="12"/>
      <c r="BL49" s="7">
        <v>47</v>
      </c>
      <c r="BM49" s="13"/>
      <c r="BN49" s="10"/>
      <c r="BO49" s="10"/>
      <c r="BP49" s="10"/>
      <c r="BQ49" s="12"/>
      <c r="BS49" s="7">
        <v>47</v>
      </c>
      <c r="BT49" s="13"/>
      <c r="BU49" s="10"/>
      <c r="BV49" s="10"/>
      <c r="BW49" s="10"/>
      <c r="BX49" s="12"/>
      <c r="BZ49" s="7">
        <v>47</v>
      </c>
      <c r="CA49" s="13"/>
      <c r="CB49" s="10"/>
      <c r="CC49" s="10"/>
      <c r="CD49" s="10"/>
      <c r="CE49" s="12"/>
      <c r="CG49" s="7">
        <v>47</v>
      </c>
      <c r="CH49" s="13"/>
      <c r="CI49" s="10"/>
      <c r="CJ49" s="10"/>
      <c r="CK49" s="10"/>
      <c r="CL49" s="12"/>
    </row>
    <row r="50" spans="1:90" x14ac:dyDescent="0.25">
      <c r="A50" s="7">
        <v>48</v>
      </c>
      <c r="B50" s="13"/>
      <c r="C50" s="10"/>
      <c r="D50" s="10"/>
      <c r="E50" s="10"/>
      <c r="F50" s="12"/>
      <c r="H50" s="7">
        <v>48</v>
      </c>
      <c r="I50" s="13"/>
      <c r="J50" s="10"/>
      <c r="K50" s="10"/>
      <c r="L50" s="10"/>
      <c r="M50" s="12"/>
      <c r="O50" s="7">
        <v>48</v>
      </c>
      <c r="P50" s="13"/>
      <c r="Q50" s="10"/>
      <c r="R50" s="10"/>
      <c r="S50" s="10"/>
      <c r="T50" s="12"/>
      <c r="V50" s="7">
        <v>48</v>
      </c>
      <c r="W50" s="13"/>
      <c r="X50" s="10"/>
      <c r="Y50" s="10"/>
      <c r="Z50" s="10"/>
      <c r="AA50" s="12"/>
      <c r="AC50" s="7">
        <v>48</v>
      </c>
      <c r="AD50" s="13"/>
      <c r="AE50" s="10"/>
      <c r="AF50" s="10"/>
      <c r="AG50" s="10"/>
      <c r="AH50" s="12"/>
      <c r="AJ50" s="7">
        <v>48</v>
      </c>
      <c r="AK50" s="13"/>
      <c r="AL50" s="10"/>
      <c r="AM50" s="10"/>
      <c r="AN50" s="10"/>
      <c r="AO50" s="12"/>
      <c r="AQ50" s="7">
        <v>48</v>
      </c>
      <c r="AR50" s="13"/>
      <c r="AS50" s="10"/>
      <c r="AT50" s="10"/>
      <c r="AU50" s="10"/>
      <c r="AV50" s="12"/>
      <c r="AX50" s="7">
        <v>48</v>
      </c>
      <c r="AY50" s="13"/>
      <c r="AZ50" s="10"/>
      <c r="BA50" s="10"/>
      <c r="BB50" s="10"/>
      <c r="BC50" s="12"/>
      <c r="BE50" s="7">
        <v>48</v>
      </c>
      <c r="BF50" s="13"/>
      <c r="BG50" s="10"/>
      <c r="BH50" s="10"/>
      <c r="BI50" s="10"/>
      <c r="BJ50" s="12"/>
      <c r="BL50" s="7">
        <v>48</v>
      </c>
      <c r="BM50" s="13"/>
      <c r="BN50" s="10"/>
      <c r="BO50" s="10"/>
      <c r="BP50" s="10"/>
      <c r="BQ50" s="12"/>
      <c r="BS50" s="7">
        <v>48</v>
      </c>
      <c r="BT50" s="13"/>
      <c r="BU50" s="10"/>
      <c r="BV50" s="10"/>
      <c r="BW50" s="10"/>
      <c r="BX50" s="12"/>
      <c r="BZ50" s="7">
        <v>48</v>
      </c>
      <c r="CA50" s="13"/>
      <c r="CB50" s="10"/>
      <c r="CC50" s="10"/>
      <c r="CD50" s="10"/>
      <c r="CE50" s="12"/>
      <c r="CG50" s="7">
        <v>48</v>
      </c>
      <c r="CH50" s="13"/>
      <c r="CI50" s="10"/>
      <c r="CJ50" s="10"/>
      <c r="CK50" s="10"/>
      <c r="CL50" s="12"/>
    </row>
    <row r="51" spans="1:90" x14ac:dyDescent="0.25">
      <c r="A51" s="7">
        <v>49</v>
      </c>
      <c r="B51" s="13"/>
      <c r="C51" s="10"/>
      <c r="D51" s="10"/>
      <c r="E51" s="10"/>
      <c r="F51" s="12"/>
      <c r="H51" s="7">
        <v>49</v>
      </c>
      <c r="I51" s="13"/>
      <c r="J51" s="10"/>
      <c r="K51" s="10"/>
      <c r="L51" s="10"/>
      <c r="M51" s="12"/>
      <c r="O51" s="7">
        <v>49</v>
      </c>
      <c r="P51" s="13"/>
      <c r="Q51" s="10"/>
      <c r="R51" s="10"/>
      <c r="S51" s="10"/>
      <c r="T51" s="12"/>
      <c r="V51" s="7">
        <v>49</v>
      </c>
      <c r="W51" s="13"/>
      <c r="X51" s="10"/>
      <c r="Y51" s="10"/>
      <c r="Z51" s="10"/>
      <c r="AA51" s="12"/>
      <c r="AC51" s="7">
        <v>49</v>
      </c>
      <c r="AD51" s="13"/>
      <c r="AE51" s="10"/>
      <c r="AF51" s="10"/>
      <c r="AG51" s="10"/>
      <c r="AH51" s="12"/>
      <c r="AJ51" s="7">
        <v>49</v>
      </c>
      <c r="AK51" s="13"/>
      <c r="AL51" s="10"/>
      <c r="AM51" s="10"/>
      <c r="AN51" s="10"/>
      <c r="AO51" s="12"/>
      <c r="AQ51" s="7">
        <v>49</v>
      </c>
      <c r="AR51" s="13"/>
      <c r="AS51" s="10"/>
      <c r="AT51" s="10"/>
      <c r="AU51" s="10"/>
      <c r="AV51" s="12"/>
      <c r="AX51" s="7">
        <v>49</v>
      </c>
      <c r="AY51" s="13"/>
      <c r="AZ51" s="10"/>
      <c r="BA51" s="10"/>
      <c r="BB51" s="10"/>
      <c r="BC51" s="12"/>
      <c r="BE51" s="7">
        <v>49</v>
      </c>
      <c r="BF51" s="13"/>
      <c r="BG51" s="10"/>
      <c r="BH51" s="10"/>
      <c r="BI51" s="10"/>
      <c r="BJ51" s="12"/>
      <c r="BL51" s="7">
        <v>49</v>
      </c>
      <c r="BM51" s="13"/>
      <c r="BN51" s="10"/>
      <c r="BO51" s="10"/>
      <c r="BP51" s="10"/>
      <c r="BQ51" s="12"/>
      <c r="BS51" s="7">
        <v>49</v>
      </c>
      <c r="BT51" s="13"/>
      <c r="BU51" s="10"/>
      <c r="BV51" s="10"/>
      <c r="BW51" s="10"/>
      <c r="BX51" s="12"/>
      <c r="BZ51" s="7">
        <v>49</v>
      </c>
      <c r="CA51" s="13"/>
      <c r="CB51" s="10"/>
      <c r="CC51" s="10"/>
      <c r="CD51" s="10"/>
      <c r="CE51" s="12"/>
      <c r="CG51" s="7">
        <v>49</v>
      </c>
      <c r="CH51" s="13"/>
      <c r="CI51" s="10"/>
      <c r="CJ51" s="10"/>
      <c r="CK51" s="10"/>
      <c r="CL51" s="12"/>
    </row>
    <row r="52" spans="1:90" x14ac:dyDescent="0.25">
      <c r="A52" s="7">
        <v>50</v>
      </c>
      <c r="B52" s="13"/>
      <c r="C52" s="10"/>
      <c r="D52" s="10"/>
      <c r="E52" s="10"/>
      <c r="F52" s="12"/>
      <c r="H52" s="7">
        <v>50</v>
      </c>
      <c r="I52" s="13"/>
      <c r="J52" s="10"/>
      <c r="K52" s="10"/>
      <c r="L52" s="10"/>
      <c r="M52" s="12"/>
      <c r="O52" s="7">
        <v>50</v>
      </c>
      <c r="P52" s="13"/>
      <c r="Q52" s="10"/>
      <c r="R52" s="10"/>
      <c r="S52" s="10"/>
      <c r="T52" s="12"/>
      <c r="V52" s="7">
        <v>50</v>
      </c>
      <c r="W52" s="13"/>
      <c r="X52" s="10"/>
      <c r="Y52" s="10"/>
      <c r="Z52" s="10"/>
      <c r="AA52" s="12"/>
      <c r="AC52" s="7">
        <v>50</v>
      </c>
      <c r="AD52" s="13"/>
      <c r="AE52" s="10"/>
      <c r="AF52" s="10"/>
      <c r="AG52" s="10"/>
      <c r="AH52" s="12"/>
      <c r="AJ52" s="7">
        <v>50</v>
      </c>
      <c r="AK52" s="13"/>
      <c r="AL52" s="10"/>
      <c r="AM52" s="10"/>
      <c r="AN52" s="10"/>
      <c r="AO52" s="12"/>
      <c r="AQ52" s="7">
        <v>50</v>
      </c>
      <c r="AR52" s="13"/>
      <c r="AS52" s="10"/>
      <c r="AT52" s="10"/>
      <c r="AU52" s="10"/>
      <c r="AV52" s="12"/>
      <c r="AX52" s="7">
        <v>50</v>
      </c>
      <c r="AY52" s="13"/>
      <c r="AZ52" s="10"/>
      <c r="BA52" s="10"/>
      <c r="BB52" s="10"/>
      <c r="BC52" s="12"/>
      <c r="BE52" s="7">
        <v>50</v>
      </c>
      <c r="BF52" s="13"/>
      <c r="BG52" s="10"/>
      <c r="BH52" s="10"/>
      <c r="BI52" s="10"/>
      <c r="BJ52" s="12"/>
      <c r="BL52" s="7">
        <v>50</v>
      </c>
      <c r="BM52" s="13"/>
      <c r="BN52" s="10"/>
      <c r="BO52" s="10"/>
      <c r="BP52" s="10"/>
      <c r="BQ52" s="12"/>
      <c r="BS52" s="7">
        <v>50</v>
      </c>
      <c r="BT52" s="13"/>
      <c r="BU52" s="10"/>
      <c r="BV52" s="10"/>
      <c r="BW52" s="10"/>
      <c r="BX52" s="12"/>
      <c r="BZ52" s="7">
        <v>50</v>
      </c>
      <c r="CA52" s="13"/>
      <c r="CB52" s="10"/>
      <c r="CC52" s="10"/>
      <c r="CD52" s="10"/>
      <c r="CE52" s="12"/>
      <c r="CG52" s="7">
        <v>50</v>
      </c>
      <c r="CH52" s="13"/>
      <c r="CI52" s="10"/>
      <c r="CJ52" s="10"/>
      <c r="CK52" s="10"/>
      <c r="CL52" s="12"/>
    </row>
    <row r="53" spans="1:90" x14ac:dyDescent="0.25">
      <c r="A53" s="7">
        <v>51</v>
      </c>
      <c r="B53" s="13"/>
      <c r="C53" s="10"/>
      <c r="D53" s="10"/>
      <c r="E53" s="10"/>
      <c r="F53" s="12"/>
      <c r="H53" s="7">
        <v>51</v>
      </c>
      <c r="I53" s="13"/>
      <c r="J53" s="10"/>
      <c r="K53" s="10"/>
      <c r="L53" s="10"/>
      <c r="M53" s="12"/>
      <c r="O53" s="7">
        <v>51</v>
      </c>
      <c r="P53" s="13"/>
      <c r="Q53" s="10"/>
      <c r="R53" s="10"/>
      <c r="S53" s="10"/>
      <c r="T53" s="12"/>
      <c r="V53" s="7">
        <v>51</v>
      </c>
      <c r="W53" s="13"/>
      <c r="X53" s="10"/>
      <c r="Y53" s="10"/>
      <c r="Z53" s="10"/>
      <c r="AA53" s="12"/>
      <c r="AC53" s="7">
        <v>51</v>
      </c>
      <c r="AD53" s="13"/>
      <c r="AE53" s="10"/>
      <c r="AF53" s="10"/>
      <c r="AG53" s="10"/>
      <c r="AH53" s="12"/>
      <c r="AJ53" s="7">
        <v>51</v>
      </c>
      <c r="AK53" s="13"/>
      <c r="AL53" s="10"/>
      <c r="AM53" s="10"/>
      <c r="AN53" s="10"/>
      <c r="AO53" s="12"/>
      <c r="AQ53" s="7">
        <v>51</v>
      </c>
      <c r="AR53" s="13"/>
      <c r="AS53" s="10"/>
      <c r="AT53" s="10"/>
      <c r="AU53" s="10"/>
      <c r="AV53" s="12"/>
      <c r="AX53" s="7">
        <v>51</v>
      </c>
      <c r="AY53" s="13"/>
      <c r="AZ53" s="10"/>
      <c r="BA53" s="10"/>
      <c r="BB53" s="10"/>
      <c r="BC53" s="12"/>
      <c r="BE53" s="7">
        <v>51</v>
      </c>
      <c r="BF53" s="13"/>
      <c r="BG53" s="10"/>
      <c r="BH53" s="10"/>
      <c r="BI53" s="10"/>
      <c r="BJ53" s="12"/>
      <c r="BL53" s="7">
        <v>51</v>
      </c>
      <c r="BM53" s="13"/>
      <c r="BN53" s="10"/>
      <c r="BO53" s="10"/>
      <c r="BP53" s="10"/>
      <c r="BQ53" s="12"/>
      <c r="BS53" s="7">
        <v>51</v>
      </c>
      <c r="BT53" s="13"/>
      <c r="BU53" s="10"/>
      <c r="BV53" s="10"/>
      <c r="BW53" s="10"/>
      <c r="BX53" s="12"/>
      <c r="BZ53" s="7">
        <v>51</v>
      </c>
      <c r="CA53" s="13"/>
      <c r="CB53" s="10"/>
      <c r="CC53" s="10"/>
      <c r="CD53" s="10"/>
      <c r="CE53" s="12"/>
      <c r="CG53" s="7">
        <v>51</v>
      </c>
      <c r="CH53" s="13"/>
      <c r="CI53" s="10"/>
      <c r="CJ53" s="10"/>
      <c r="CK53" s="10"/>
      <c r="CL53" s="12"/>
    </row>
    <row r="54" spans="1:90" x14ac:dyDescent="0.25">
      <c r="A54" s="7">
        <v>52</v>
      </c>
      <c r="B54" s="13"/>
      <c r="C54" s="10"/>
      <c r="D54" s="10"/>
      <c r="E54" s="10"/>
      <c r="F54" s="12"/>
      <c r="H54" s="7">
        <v>52</v>
      </c>
      <c r="I54" s="13"/>
      <c r="J54" s="10"/>
      <c r="K54" s="10"/>
      <c r="L54" s="10"/>
      <c r="M54" s="12"/>
      <c r="O54" s="7">
        <v>52</v>
      </c>
      <c r="P54" s="13"/>
      <c r="Q54" s="10"/>
      <c r="R54" s="10"/>
      <c r="S54" s="10"/>
      <c r="T54" s="12"/>
      <c r="V54" s="7">
        <v>52</v>
      </c>
      <c r="W54" s="13"/>
      <c r="X54" s="10"/>
      <c r="Y54" s="10"/>
      <c r="Z54" s="10"/>
      <c r="AA54" s="12"/>
      <c r="AC54" s="7">
        <v>52</v>
      </c>
      <c r="AD54" s="13"/>
      <c r="AE54" s="10"/>
      <c r="AF54" s="10"/>
      <c r="AG54" s="10"/>
      <c r="AH54" s="12"/>
      <c r="AJ54" s="7">
        <v>52</v>
      </c>
      <c r="AK54" s="13"/>
      <c r="AL54" s="10"/>
      <c r="AM54" s="10"/>
      <c r="AN54" s="10"/>
      <c r="AO54" s="12"/>
      <c r="AQ54" s="7">
        <v>52</v>
      </c>
      <c r="AR54" s="13"/>
      <c r="AS54" s="10"/>
      <c r="AT54" s="10"/>
      <c r="AU54" s="10"/>
      <c r="AV54" s="12"/>
      <c r="AX54" s="7">
        <v>52</v>
      </c>
      <c r="AY54" s="13"/>
      <c r="AZ54" s="10"/>
      <c r="BA54" s="10"/>
      <c r="BB54" s="10"/>
      <c r="BC54" s="12"/>
      <c r="BE54" s="7">
        <v>52</v>
      </c>
      <c r="BF54" s="13"/>
      <c r="BG54" s="10"/>
      <c r="BH54" s="10"/>
      <c r="BI54" s="10"/>
      <c r="BJ54" s="12"/>
      <c r="BL54" s="7">
        <v>52</v>
      </c>
      <c r="BM54" s="13"/>
      <c r="BN54" s="10"/>
      <c r="BO54" s="10"/>
      <c r="BP54" s="10"/>
      <c r="BQ54" s="12"/>
      <c r="BS54" s="7">
        <v>52</v>
      </c>
      <c r="BT54" s="13"/>
      <c r="BU54" s="10"/>
      <c r="BV54" s="10"/>
      <c r="BW54" s="10"/>
      <c r="BX54" s="12"/>
      <c r="BZ54" s="7">
        <v>52</v>
      </c>
      <c r="CA54" s="13"/>
      <c r="CB54" s="10"/>
      <c r="CC54" s="10"/>
      <c r="CD54" s="10"/>
      <c r="CE54" s="12"/>
      <c r="CG54" s="7">
        <v>52</v>
      </c>
      <c r="CH54" s="13"/>
      <c r="CI54" s="10"/>
      <c r="CJ54" s="10"/>
      <c r="CK54" s="10"/>
      <c r="CL54" s="12"/>
    </row>
    <row r="55" spans="1:90" x14ac:dyDescent="0.25">
      <c r="A55" s="7">
        <v>53</v>
      </c>
      <c r="B55" s="13"/>
      <c r="C55" s="10"/>
      <c r="D55" s="10"/>
      <c r="E55" s="10"/>
      <c r="F55" s="12"/>
      <c r="H55" s="7">
        <v>53</v>
      </c>
      <c r="I55" s="13"/>
      <c r="J55" s="10"/>
      <c r="K55" s="10"/>
      <c r="L55" s="10"/>
      <c r="M55" s="12"/>
      <c r="O55" s="7">
        <v>53</v>
      </c>
      <c r="P55" s="13"/>
      <c r="Q55" s="10"/>
      <c r="R55" s="10"/>
      <c r="S55" s="10"/>
      <c r="T55" s="12"/>
      <c r="V55" s="7">
        <v>53</v>
      </c>
      <c r="W55" s="13"/>
      <c r="X55" s="10"/>
      <c r="Y55" s="10"/>
      <c r="Z55" s="10"/>
      <c r="AA55" s="12"/>
      <c r="AC55" s="7">
        <v>53</v>
      </c>
      <c r="AD55" s="13"/>
      <c r="AE55" s="10"/>
      <c r="AF55" s="10"/>
      <c r="AG55" s="10"/>
      <c r="AH55" s="12"/>
      <c r="AJ55" s="7">
        <v>53</v>
      </c>
      <c r="AK55" s="13"/>
      <c r="AL55" s="10"/>
      <c r="AM55" s="10"/>
      <c r="AN55" s="10"/>
      <c r="AO55" s="12"/>
      <c r="AQ55" s="7">
        <v>53</v>
      </c>
      <c r="AR55" s="13"/>
      <c r="AS55" s="10"/>
      <c r="AT55" s="10"/>
      <c r="AU55" s="10"/>
      <c r="AV55" s="12"/>
      <c r="AX55" s="7">
        <v>53</v>
      </c>
      <c r="AY55" s="13"/>
      <c r="AZ55" s="10"/>
      <c r="BA55" s="10"/>
      <c r="BB55" s="10"/>
      <c r="BC55" s="12"/>
      <c r="BE55" s="7">
        <v>53</v>
      </c>
      <c r="BF55" s="13"/>
      <c r="BG55" s="10"/>
      <c r="BH55" s="10"/>
      <c r="BI55" s="10"/>
      <c r="BJ55" s="12"/>
      <c r="BL55" s="7">
        <v>53</v>
      </c>
      <c r="BM55" s="13"/>
      <c r="BN55" s="10"/>
      <c r="BO55" s="10"/>
      <c r="BP55" s="10"/>
      <c r="BQ55" s="12"/>
      <c r="BS55" s="7">
        <v>53</v>
      </c>
      <c r="BT55" s="13"/>
      <c r="BU55" s="10"/>
      <c r="BV55" s="10"/>
      <c r="BW55" s="10"/>
      <c r="BX55" s="12"/>
      <c r="BZ55" s="7">
        <v>53</v>
      </c>
      <c r="CA55" s="13"/>
      <c r="CB55" s="10"/>
      <c r="CC55" s="10"/>
      <c r="CD55" s="10"/>
      <c r="CE55" s="12"/>
      <c r="CG55" s="7">
        <v>53</v>
      </c>
      <c r="CH55" s="13"/>
      <c r="CI55" s="10"/>
      <c r="CJ55" s="10"/>
      <c r="CK55" s="10"/>
      <c r="CL55" s="12"/>
    </row>
    <row r="56" spans="1:90" x14ac:dyDescent="0.25">
      <c r="A56" s="7">
        <v>54</v>
      </c>
      <c r="B56" s="13"/>
      <c r="C56" s="10"/>
      <c r="D56" s="10"/>
      <c r="E56" s="10"/>
      <c r="F56" s="12"/>
      <c r="H56" s="7">
        <v>54</v>
      </c>
      <c r="I56" s="13"/>
      <c r="J56" s="10"/>
      <c r="K56" s="10"/>
      <c r="L56" s="10"/>
      <c r="M56" s="12"/>
      <c r="O56" s="7">
        <v>54</v>
      </c>
      <c r="P56" s="13"/>
      <c r="Q56" s="10"/>
      <c r="R56" s="10"/>
      <c r="S56" s="10"/>
      <c r="T56" s="12"/>
      <c r="V56" s="7">
        <v>54</v>
      </c>
      <c r="W56" s="13"/>
      <c r="X56" s="10"/>
      <c r="Y56" s="10"/>
      <c r="Z56" s="10"/>
      <c r="AA56" s="12"/>
      <c r="AC56" s="7">
        <v>54</v>
      </c>
      <c r="AD56" s="13"/>
      <c r="AE56" s="10"/>
      <c r="AF56" s="10"/>
      <c r="AG56" s="10"/>
      <c r="AH56" s="12"/>
      <c r="AJ56" s="7">
        <v>54</v>
      </c>
      <c r="AK56" s="13"/>
      <c r="AL56" s="10"/>
      <c r="AM56" s="10"/>
      <c r="AN56" s="10"/>
      <c r="AO56" s="12"/>
      <c r="AQ56" s="7">
        <v>54</v>
      </c>
      <c r="AR56" s="13"/>
      <c r="AS56" s="10"/>
      <c r="AT56" s="10"/>
      <c r="AU56" s="10"/>
      <c r="AV56" s="12"/>
      <c r="AX56" s="7">
        <v>54</v>
      </c>
      <c r="AY56" s="13"/>
      <c r="AZ56" s="10"/>
      <c r="BA56" s="10"/>
      <c r="BB56" s="10"/>
      <c r="BC56" s="12"/>
      <c r="BE56" s="7">
        <v>54</v>
      </c>
      <c r="BF56" s="13"/>
      <c r="BG56" s="10"/>
      <c r="BH56" s="10"/>
      <c r="BI56" s="10"/>
      <c r="BJ56" s="12"/>
      <c r="BL56" s="7">
        <v>54</v>
      </c>
      <c r="BM56" s="13"/>
      <c r="BN56" s="10"/>
      <c r="BO56" s="10"/>
      <c r="BP56" s="10"/>
      <c r="BQ56" s="12"/>
      <c r="BS56" s="7">
        <v>54</v>
      </c>
      <c r="BT56" s="13"/>
      <c r="BU56" s="10"/>
      <c r="BV56" s="10"/>
      <c r="BW56" s="10"/>
      <c r="BX56" s="12"/>
      <c r="BZ56" s="7">
        <v>54</v>
      </c>
      <c r="CA56" s="13"/>
      <c r="CB56" s="10"/>
      <c r="CC56" s="10"/>
      <c r="CD56" s="10"/>
      <c r="CE56" s="12"/>
      <c r="CG56" s="7">
        <v>54</v>
      </c>
      <c r="CH56" s="13"/>
      <c r="CI56" s="10"/>
      <c r="CJ56" s="10"/>
      <c r="CK56" s="10"/>
      <c r="CL56" s="12"/>
    </row>
    <row r="57" spans="1:90" x14ac:dyDescent="0.25">
      <c r="A57" s="7">
        <v>55</v>
      </c>
      <c r="B57" s="13"/>
      <c r="C57" s="10"/>
      <c r="D57" s="10"/>
      <c r="E57" s="10"/>
      <c r="F57" s="12"/>
      <c r="H57" s="7">
        <v>55</v>
      </c>
      <c r="I57" s="13"/>
      <c r="J57" s="10"/>
      <c r="K57" s="10"/>
      <c r="L57" s="10"/>
      <c r="M57" s="12"/>
      <c r="O57" s="7">
        <v>55</v>
      </c>
      <c r="P57" s="13"/>
      <c r="Q57" s="10"/>
      <c r="R57" s="10"/>
      <c r="S57" s="10"/>
      <c r="T57" s="12"/>
      <c r="V57" s="7">
        <v>55</v>
      </c>
      <c r="W57" s="13"/>
      <c r="X57" s="10"/>
      <c r="Y57" s="10"/>
      <c r="Z57" s="10"/>
      <c r="AA57" s="12"/>
      <c r="AC57" s="7">
        <v>55</v>
      </c>
      <c r="AD57" s="13"/>
      <c r="AE57" s="10"/>
      <c r="AF57" s="10"/>
      <c r="AG57" s="10"/>
      <c r="AH57" s="12"/>
      <c r="AJ57" s="7">
        <v>55</v>
      </c>
      <c r="AK57" s="13"/>
      <c r="AL57" s="10"/>
      <c r="AM57" s="10"/>
      <c r="AN57" s="10"/>
      <c r="AO57" s="12"/>
      <c r="AQ57" s="7">
        <v>55</v>
      </c>
      <c r="AR57" s="13"/>
      <c r="AS57" s="10"/>
      <c r="AT57" s="10"/>
      <c r="AU57" s="10"/>
      <c r="AV57" s="12"/>
      <c r="AX57" s="7">
        <v>55</v>
      </c>
      <c r="AY57" s="13"/>
      <c r="AZ57" s="10"/>
      <c r="BA57" s="10"/>
      <c r="BB57" s="10"/>
      <c r="BC57" s="12"/>
      <c r="BE57" s="7">
        <v>55</v>
      </c>
      <c r="BF57" s="13"/>
      <c r="BG57" s="10"/>
      <c r="BH57" s="10"/>
      <c r="BI57" s="10"/>
      <c r="BJ57" s="12"/>
      <c r="BL57" s="7">
        <v>55</v>
      </c>
      <c r="BM57" s="13"/>
      <c r="BN57" s="10"/>
      <c r="BO57" s="10"/>
      <c r="BP57" s="10"/>
      <c r="BQ57" s="12"/>
      <c r="BS57" s="7">
        <v>55</v>
      </c>
      <c r="BT57" s="13"/>
      <c r="BU57" s="10"/>
      <c r="BV57" s="10"/>
      <c r="BW57" s="10"/>
      <c r="BX57" s="12"/>
      <c r="BZ57" s="7">
        <v>55</v>
      </c>
      <c r="CA57" s="13"/>
      <c r="CB57" s="10"/>
      <c r="CC57" s="10"/>
      <c r="CD57" s="10"/>
      <c r="CE57" s="12"/>
      <c r="CG57" s="7">
        <v>55</v>
      </c>
      <c r="CH57" s="13"/>
      <c r="CI57" s="10"/>
      <c r="CJ57" s="10"/>
      <c r="CK57" s="10"/>
      <c r="CL57" s="12"/>
    </row>
    <row r="58" spans="1:90" x14ac:dyDescent="0.25">
      <c r="A58" s="7">
        <v>56</v>
      </c>
      <c r="B58" s="13"/>
      <c r="C58" s="10"/>
      <c r="D58" s="10"/>
      <c r="E58" s="10"/>
      <c r="F58" s="12"/>
      <c r="H58" s="7">
        <v>56</v>
      </c>
      <c r="I58" s="13"/>
      <c r="J58" s="10"/>
      <c r="K58" s="10"/>
      <c r="L58" s="10"/>
      <c r="M58" s="12"/>
      <c r="O58" s="7">
        <v>56</v>
      </c>
      <c r="P58" s="13"/>
      <c r="Q58" s="10"/>
      <c r="R58" s="10"/>
      <c r="S58" s="10"/>
      <c r="T58" s="12"/>
      <c r="V58" s="7">
        <v>56</v>
      </c>
      <c r="W58" s="13"/>
      <c r="X58" s="10"/>
      <c r="Y58" s="10"/>
      <c r="Z58" s="10"/>
      <c r="AA58" s="12"/>
      <c r="AC58" s="7">
        <v>56</v>
      </c>
      <c r="AD58" s="13"/>
      <c r="AE58" s="10"/>
      <c r="AF58" s="10"/>
      <c r="AG58" s="10"/>
      <c r="AH58" s="12"/>
      <c r="AJ58" s="7">
        <v>56</v>
      </c>
      <c r="AK58" s="13"/>
      <c r="AL58" s="10"/>
      <c r="AM58" s="10"/>
      <c r="AN58" s="10"/>
      <c r="AO58" s="12"/>
      <c r="AQ58" s="7">
        <v>56</v>
      </c>
      <c r="AR58" s="13"/>
      <c r="AS58" s="10"/>
      <c r="AT58" s="10"/>
      <c r="AU58" s="10"/>
      <c r="AV58" s="12"/>
      <c r="AX58" s="7">
        <v>56</v>
      </c>
      <c r="AY58" s="13"/>
      <c r="AZ58" s="10"/>
      <c r="BA58" s="10"/>
      <c r="BB58" s="10"/>
      <c r="BC58" s="12"/>
      <c r="BE58" s="7">
        <v>56</v>
      </c>
      <c r="BF58" s="13"/>
      <c r="BG58" s="10"/>
      <c r="BH58" s="10"/>
      <c r="BI58" s="10"/>
      <c r="BJ58" s="12"/>
      <c r="BL58" s="7">
        <v>56</v>
      </c>
      <c r="BM58" s="13"/>
      <c r="BN58" s="10"/>
      <c r="BO58" s="10"/>
      <c r="BP58" s="10"/>
      <c r="BQ58" s="12"/>
      <c r="BS58" s="7">
        <v>56</v>
      </c>
      <c r="BT58" s="13"/>
      <c r="BU58" s="10"/>
      <c r="BV58" s="10"/>
      <c r="BW58" s="10"/>
      <c r="BX58" s="12"/>
      <c r="BZ58" s="7">
        <v>56</v>
      </c>
      <c r="CA58" s="13"/>
      <c r="CB58" s="10"/>
      <c r="CC58" s="10"/>
      <c r="CD58" s="10"/>
      <c r="CE58" s="12"/>
      <c r="CG58" s="7">
        <v>56</v>
      </c>
      <c r="CH58" s="13"/>
      <c r="CI58" s="10"/>
      <c r="CJ58" s="10"/>
      <c r="CK58" s="10"/>
      <c r="CL58" s="12"/>
    </row>
    <row r="59" spans="1:90" x14ac:dyDescent="0.25">
      <c r="A59" s="7">
        <v>57</v>
      </c>
      <c r="B59" s="13"/>
      <c r="C59" s="10"/>
      <c r="D59" s="10"/>
      <c r="E59" s="10"/>
      <c r="F59" s="12"/>
      <c r="H59" s="7">
        <v>57</v>
      </c>
      <c r="I59" s="13"/>
      <c r="J59" s="10"/>
      <c r="K59" s="10"/>
      <c r="L59" s="10"/>
      <c r="M59" s="12"/>
      <c r="O59" s="7">
        <v>57</v>
      </c>
      <c r="P59" s="13"/>
      <c r="Q59" s="10"/>
      <c r="R59" s="10"/>
      <c r="S59" s="10"/>
      <c r="T59" s="12"/>
      <c r="V59" s="7">
        <v>57</v>
      </c>
      <c r="W59" s="13"/>
      <c r="X59" s="10"/>
      <c r="Y59" s="10"/>
      <c r="Z59" s="10"/>
      <c r="AA59" s="12"/>
      <c r="AC59" s="7">
        <v>57</v>
      </c>
      <c r="AD59" s="13"/>
      <c r="AE59" s="10"/>
      <c r="AF59" s="10"/>
      <c r="AG59" s="10"/>
      <c r="AH59" s="12"/>
      <c r="AJ59" s="7">
        <v>57</v>
      </c>
      <c r="AK59" s="13"/>
      <c r="AL59" s="10"/>
      <c r="AM59" s="10"/>
      <c r="AN59" s="10"/>
      <c r="AO59" s="12"/>
      <c r="AQ59" s="7">
        <v>57</v>
      </c>
      <c r="AR59" s="13"/>
      <c r="AS59" s="10"/>
      <c r="AT59" s="10"/>
      <c r="AU59" s="10"/>
      <c r="AV59" s="12"/>
      <c r="AX59" s="7">
        <v>57</v>
      </c>
      <c r="AY59" s="13"/>
      <c r="AZ59" s="10"/>
      <c r="BA59" s="10"/>
      <c r="BB59" s="10"/>
      <c r="BC59" s="12"/>
      <c r="BE59" s="7">
        <v>57</v>
      </c>
      <c r="BF59" s="13"/>
      <c r="BG59" s="10"/>
      <c r="BH59" s="10"/>
      <c r="BI59" s="10"/>
      <c r="BJ59" s="12"/>
      <c r="BL59" s="7">
        <v>57</v>
      </c>
      <c r="BM59" s="13"/>
      <c r="BN59" s="10"/>
      <c r="BO59" s="10"/>
      <c r="BP59" s="10"/>
      <c r="BQ59" s="12"/>
      <c r="BS59" s="7">
        <v>57</v>
      </c>
      <c r="BT59" s="13"/>
      <c r="BU59" s="10"/>
      <c r="BV59" s="10"/>
      <c r="BW59" s="10"/>
      <c r="BX59" s="12"/>
      <c r="BZ59" s="7">
        <v>57</v>
      </c>
      <c r="CA59" s="13"/>
      <c r="CB59" s="10"/>
      <c r="CC59" s="10"/>
      <c r="CD59" s="10"/>
      <c r="CE59" s="12"/>
      <c r="CG59" s="7">
        <v>57</v>
      </c>
      <c r="CH59" s="13"/>
      <c r="CI59" s="10"/>
      <c r="CJ59" s="10"/>
      <c r="CK59" s="10"/>
      <c r="CL59" s="12"/>
    </row>
    <row r="60" spans="1:90" x14ac:dyDescent="0.25">
      <c r="A60" s="7">
        <v>58</v>
      </c>
      <c r="B60" s="13"/>
      <c r="C60" s="10"/>
      <c r="D60" s="10"/>
      <c r="E60" s="10"/>
      <c r="F60" s="12"/>
      <c r="H60" s="7">
        <v>58</v>
      </c>
      <c r="I60" s="13"/>
      <c r="J60" s="10"/>
      <c r="K60" s="10"/>
      <c r="L60" s="10"/>
      <c r="M60" s="12"/>
      <c r="O60" s="7">
        <v>58</v>
      </c>
      <c r="P60" s="13"/>
      <c r="Q60" s="10"/>
      <c r="R60" s="10"/>
      <c r="S60" s="10"/>
      <c r="T60" s="12"/>
      <c r="V60" s="7">
        <v>58</v>
      </c>
      <c r="W60" s="13"/>
      <c r="X60" s="10"/>
      <c r="Y60" s="10"/>
      <c r="Z60" s="10"/>
      <c r="AA60" s="12"/>
      <c r="AC60" s="7">
        <v>58</v>
      </c>
      <c r="AD60" s="13"/>
      <c r="AE60" s="10"/>
      <c r="AF60" s="10"/>
      <c r="AG60" s="10"/>
      <c r="AH60" s="12"/>
      <c r="AJ60" s="7">
        <v>58</v>
      </c>
      <c r="AK60" s="13"/>
      <c r="AL60" s="10"/>
      <c r="AM60" s="10"/>
      <c r="AN60" s="10"/>
      <c r="AO60" s="12"/>
      <c r="AQ60" s="7">
        <v>58</v>
      </c>
      <c r="AR60" s="13"/>
      <c r="AS60" s="10"/>
      <c r="AT60" s="10"/>
      <c r="AU60" s="10"/>
      <c r="AV60" s="12"/>
      <c r="AX60" s="7">
        <v>58</v>
      </c>
      <c r="AY60" s="13"/>
      <c r="AZ60" s="10"/>
      <c r="BA60" s="10"/>
      <c r="BB60" s="10"/>
      <c r="BC60" s="12"/>
      <c r="BE60" s="7">
        <v>58</v>
      </c>
      <c r="BF60" s="13"/>
      <c r="BG60" s="10"/>
      <c r="BH60" s="10"/>
      <c r="BI60" s="10"/>
      <c r="BJ60" s="12"/>
      <c r="BL60" s="7">
        <v>58</v>
      </c>
      <c r="BM60" s="13"/>
      <c r="BN60" s="10"/>
      <c r="BO60" s="10"/>
      <c r="BP60" s="10"/>
      <c r="BQ60" s="12"/>
      <c r="BS60" s="7">
        <v>58</v>
      </c>
      <c r="BT60" s="13"/>
      <c r="BU60" s="10"/>
      <c r="BV60" s="10"/>
      <c r="BW60" s="10"/>
      <c r="BX60" s="12"/>
      <c r="BZ60" s="7">
        <v>58</v>
      </c>
      <c r="CA60" s="13"/>
      <c r="CB60" s="10"/>
      <c r="CC60" s="10"/>
      <c r="CD60" s="10"/>
      <c r="CE60" s="12"/>
      <c r="CG60" s="7">
        <v>58</v>
      </c>
      <c r="CH60" s="13"/>
      <c r="CI60" s="10"/>
      <c r="CJ60" s="10"/>
      <c r="CK60" s="10"/>
      <c r="CL60" s="12"/>
    </row>
    <row r="61" spans="1:90" x14ac:dyDescent="0.25">
      <c r="A61" s="7">
        <v>59</v>
      </c>
      <c r="B61" s="13"/>
      <c r="C61" s="10"/>
      <c r="D61" s="10"/>
      <c r="E61" s="10"/>
      <c r="F61" s="12"/>
      <c r="H61" s="7">
        <v>59</v>
      </c>
      <c r="I61" s="13"/>
      <c r="J61" s="10"/>
      <c r="K61" s="10"/>
      <c r="L61" s="10"/>
      <c r="M61" s="12"/>
      <c r="O61" s="7">
        <v>59</v>
      </c>
      <c r="P61" s="13"/>
      <c r="Q61" s="10"/>
      <c r="R61" s="10"/>
      <c r="S61" s="10"/>
      <c r="T61" s="12"/>
      <c r="V61" s="7">
        <v>59</v>
      </c>
      <c r="W61" s="13"/>
      <c r="X61" s="10"/>
      <c r="Y61" s="10"/>
      <c r="Z61" s="10"/>
      <c r="AA61" s="12"/>
      <c r="AC61" s="7">
        <v>59</v>
      </c>
      <c r="AD61" s="13"/>
      <c r="AE61" s="10"/>
      <c r="AF61" s="10"/>
      <c r="AG61" s="10"/>
      <c r="AH61" s="12"/>
      <c r="AJ61" s="7">
        <v>59</v>
      </c>
      <c r="AK61" s="13"/>
      <c r="AL61" s="10"/>
      <c r="AM61" s="10"/>
      <c r="AN61" s="10"/>
      <c r="AO61" s="12"/>
      <c r="AQ61" s="7">
        <v>59</v>
      </c>
      <c r="AR61" s="13"/>
      <c r="AS61" s="10"/>
      <c r="AT61" s="10"/>
      <c r="AU61" s="10"/>
      <c r="AV61" s="12"/>
      <c r="AX61" s="7">
        <v>59</v>
      </c>
      <c r="AY61" s="13"/>
      <c r="AZ61" s="10"/>
      <c r="BA61" s="10"/>
      <c r="BB61" s="10"/>
      <c r="BC61" s="12"/>
      <c r="BE61" s="7">
        <v>59</v>
      </c>
      <c r="BF61" s="13"/>
      <c r="BG61" s="10"/>
      <c r="BH61" s="10"/>
      <c r="BI61" s="10"/>
      <c r="BJ61" s="12"/>
      <c r="BL61" s="7">
        <v>59</v>
      </c>
      <c r="BM61" s="13"/>
      <c r="BN61" s="10"/>
      <c r="BO61" s="10"/>
      <c r="BP61" s="10"/>
      <c r="BQ61" s="12"/>
      <c r="BS61" s="7">
        <v>59</v>
      </c>
      <c r="BT61" s="13"/>
      <c r="BU61" s="10"/>
      <c r="BV61" s="10"/>
      <c r="BW61" s="10"/>
      <c r="BX61" s="12"/>
      <c r="BZ61" s="7">
        <v>59</v>
      </c>
      <c r="CA61" s="13"/>
      <c r="CB61" s="10"/>
      <c r="CC61" s="10"/>
      <c r="CD61" s="10"/>
      <c r="CE61" s="12"/>
      <c r="CG61" s="7">
        <v>59</v>
      </c>
      <c r="CH61" s="13"/>
      <c r="CI61" s="10"/>
      <c r="CJ61" s="10"/>
      <c r="CK61" s="10"/>
      <c r="CL61" s="12"/>
    </row>
    <row r="62" spans="1:90" x14ac:dyDescent="0.25">
      <c r="A62" s="7">
        <v>60</v>
      </c>
      <c r="B62" s="13"/>
      <c r="C62" s="10"/>
      <c r="D62" s="10"/>
      <c r="E62" s="10"/>
      <c r="F62" s="12"/>
      <c r="H62" s="7">
        <v>60</v>
      </c>
      <c r="I62" s="13"/>
      <c r="J62" s="10"/>
      <c r="K62" s="10"/>
      <c r="L62" s="10"/>
      <c r="M62" s="12"/>
      <c r="O62" s="7">
        <v>60</v>
      </c>
      <c r="P62" s="13"/>
      <c r="Q62" s="10"/>
      <c r="R62" s="10"/>
      <c r="S62" s="10"/>
      <c r="T62" s="12"/>
      <c r="V62" s="7">
        <v>60</v>
      </c>
      <c r="W62" s="13"/>
      <c r="X62" s="10"/>
      <c r="Y62" s="10"/>
      <c r="Z62" s="10"/>
      <c r="AA62" s="12"/>
      <c r="AC62" s="7">
        <v>60</v>
      </c>
      <c r="AD62" s="13"/>
      <c r="AE62" s="10"/>
      <c r="AF62" s="10"/>
      <c r="AG62" s="10"/>
      <c r="AH62" s="12"/>
      <c r="AJ62" s="7">
        <v>60</v>
      </c>
      <c r="AK62" s="13"/>
      <c r="AL62" s="10"/>
      <c r="AM62" s="10"/>
      <c r="AN62" s="10"/>
      <c r="AO62" s="12"/>
      <c r="AQ62" s="7">
        <v>60</v>
      </c>
      <c r="AR62" s="13"/>
      <c r="AS62" s="10"/>
      <c r="AT62" s="10"/>
      <c r="AU62" s="10"/>
      <c r="AV62" s="12"/>
      <c r="AX62" s="7">
        <v>60</v>
      </c>
      <c r="AY62" s="13"/>
      <c r="AZ62" s="10"/>
      <c r="BA62" s="10"/>
      <c r="BB62" s="10"/>
      <c r="BC62" s="12"/>
      <c r="BE62" s="7">
        <v>60</v>
      </c>
      <c r="BF62" s="13"/>
      <c r="BG62" s="10"/>
      <c r="BH62" s="10"/>
      <c r="BI62" s="10"/>
      <c r="BJ62" s="12"/>
      <c r="BL62" s="7">
        <v>60</v>
      </c>
      <c r="BM62" s="13"/>
      <c r="BN62" s="10"/>
      <c r="BO62" s="10"/>
      <c r="BP62" s="10"/>
      <c r="BQ62" s="12"/>
      <c r="BS62" s="7">
        <v>60</v>
      </c>
      <c r="BT62" s="13"/>
      <c r="BU62" s="10"/>
      <c r="BV62" s="10"/>
      <c r="BW62" s="10"/>
      <c r="BX62" s="12"/>
      <c r="BZ62" s="7">
        <v>60</v>
      </c>
      <c r="CA62" s="13"/>
      <c r="CB62" s="10"/>
      <c r="CC62" s="10"/>
      <c r="CD62" s="10"/>
      <c r="CE62" s="12"/>
      <c r="CG62" s="7">
        <v>60</v>
      </c>
      <c r="CH62" s="13"/>
      <c r="CI62" s="10"/>
      <c r="CJ62" s="10"/>
      <c r="CK62" s="10"/>
      <c r="CL62" s="12"/>
    </row>
    <row r="63" spans="1:90" x14ac:dyDescent="0.25">
      <c r="A63" s="7">
        <v>61</v>
      </c>
      <c r="B63" s="13"/>
      <c r="C63" s="10"/>
      <c r="D63" s="10"/>
      <c r="E63" s="10"/>
      <c r="F63" s="12"/>
      <c r="H63" s="7">
        <v>61</v>
      </c>
      <c r="I63" s="13"/>
      <c r="J63" s="10"/>
      <c r="K63" s="10"/>
      <c r="L63" s="10"/>
      <c r="M63" s="12"/>
      <c r="O63" s="7">
        <v>61</v>
      </c>
      <c r="P63" s="13"/>
      <c r="Q63" s="10"/>
      <c r="R63" s="10"/>
      <c r="S63" s="10"/>
      <c r="T63" s="12"/>
      <c r="V63" s="7">
        <v>61</v>
      </c>
      <c r="W63" s="13"/>
      <c r="X63" s="10"/>
      <c r="Y63" s="10"/>
      <c r="Z63" s="10"/>
      <c r="AA63" s="12"/>
      <c r="AC63" s="7">
        <v>61</v>
      </c>
      <c r="AD63" s="13"/>
      <c r="AE63" s="10"/>
      <c r="AF63" s="10"/>
      <c r="AG63" s="10"/>
      <c r="AH63" s="12"/>
      <c r="AJ63" s="7">
        <v>61</v>
      </c>
      <c r="AK63" s="13"/>
      <c r="AL63" s="10"/>
      <c r="AM63" s="10"/>
      <c r="AN63" s="10"/>
      <c r="AO63" s="12"/>
      <c r="AQ63" s="7">
        <v>61</v>
      </c>
      <c r="AR63" s="13"/>
      <c r="AS63" s="10"/>
      <c r="AT63" s="10"/>
      <c r="AU63" s="10"/>
      <c r="AV63" s="12"/>
      <c r="AX63" s="7">
        <v>61</v>
      </c>
      <c r="AY63" s="13"/>
      <c r="AZ63" s="10"/>
      <c r="BA63" s="10"/>
      <c r="BB63" s="10"/>
      <c r="BC63" s="12"/>
      <c r="BE63" s="7">
        <v>61</v>
      </c>
      <c r="BF63" s="13"/>
      <c r="BG63" s="10"/>
      <c r="BH63" s="10"/>
      <c r="BI63" s="10"/>
      <c r="BJ63" s="12"/>
      <c r="BL63" s="7">
        <v>61</v>
      </c>
      <c r="BM63" s="13"/>
      <c r="BN63" s="10"/>
      <c r="BO63" s="10"/>
      <c r="BP63" s="10"/>
      <c r="BQ63" s="12"/>
      <c r="BS63" s="7">
        <v>61</v>
      </c>
      <c r="BT63" s="13"/>
      <c r="BU63" s="10"/>
      <c r="BV63" s="10"/>
      <c r="BW63" s="10"/>
      <c r="BX63" s="12"/>
      <c r="BZ63" s="7">
        <v>61</v>
      </c>
      <c r="CA63" s="13"/>
      <c r="CB63" s="10"/>
      <c r="CC63" s="10"/>
      <c r="CD63" s="10"/>
      <c r="CE63" s="12"/>
      <c r="CG63" s="7">
        <v>61</v>
      </c>
      <c r="CH63" s="13"/>
      <c r="CI63" s="10"/>
      <c r="CJ63" s="10"/>
      <c r="CK63" s="10"/>
      <c r="CL63" s="12"/>
    </row>
    <row r="64" spans="1:90" x14ac:dyDescent="0.25">
      <c r="A64" s="210" t="s">
        <v>41</v>
      </c>
      <c r="B64" s="210"/>
      <c r="C64" s="14">
        <f t="shared" ref="C64" si="0">SUM(C3:C63)</f>
        <v>0</v>
      </c>
      <c r="D64" s="14"/>
      <c r="E64" s="14">
        <f>SUM(E3:E63)</f>
        <v>0</v>
      </c>
      <c r="F64" s="14">
        <f>SUM(F3:F63)</f>
        <v>0</v>
      </c>
      <c r="G64" s="51"/>
      <c r="H64" s="210" t="s">
        <v>41</v>
      </c>
      <c r="I64" s="210"/>
      <c r="J64" s="14">
        <f t="shared" ref="J64" si="1">SUM(J3:J63)</f>
        <v>0</v>
      </c>
      <c r="K64" s="14"/>
      <c r="L64" s="14">
        <f>SUM(L3:L63)</f>
        <v>0</v>
      </c>
      <c r="M64" s="14">
        <f>SUM(M3:M63)</f>
        <v>0</v>
      </c>
      <c r="N64" s="51"/>
      <c r="O64" s="210" t="s">
        <v>41</v>
      </c>
      <c r="P64" s="210"/>
      <c r="Q64" s="14">
        <f t="shared" ref="Q64" si="2">SUM(Q3:Q63)</f>
        <v>0</v>
      </c>
      <c r="R64" s="14"/>
      <c r="S64" s="14">
        <f>SUM(S3:S63)</f>
        <v>0</v>
      </c>
      <c r="T64" s="14">
        <f>SUM(T3:T63)</f>
        <v>934</v>
      </c>
      <c r="V64" s="210" t="s">
        <v>41</v>
      </c>
      <c r="W64" s="210"/>
      <c r="X64" s="14">
        <f t="shared" ref="X64" si="3">SUM(X3:X63)</f>
        <v>5601.92</v>
      </c>
      <c r="Y64" s="14"/>
      <c r="Z64" s="14">
        <f>SUM(Z3:Z63)</f>
        <v>8</v>
      </c>
      <c r="AA64" s="14">
        <f>SUM(AA3:AA63)</f>
        <v>0</v>
      </c>
      <c r="AC64" s="210" t="s">
        <v>41</v>
      </c>
      <c r="AD64" s="210"/>
      <c r="AE64" s="14">
        <f t="shared" ref="AE64" si="4">SUM(AE3:AE63)</f>
        <v>0</v>
      </c>
      <c r="AF64" s="14"/>
      <c r="AG64" s="14">
        <f>SUM(AG3:AG63)</f>
        <v>0</v>
      </c>
      <c r="AH64" s="14">
        <f>SUM(AH3:AH63)</f>
        <v>0</v>
      </c>
      <c r="AJ64" s="210" t="s">
        <v>41</v>
      </c>
      <c r="AK64" s="210"/>
      <c r="AL64" s="14">
        <f t="shared" ref="AL64" si="5">SUM(AL3:AL63)</f>
        <v>69895.8</v>
      </c>
      <c r="AM64" s="14"/>
      <c r="AN64" s="14">
        <f>SUM(AN3:AN63)</f>
        <v>107.12</v>
      </c>
      <c r="AO64" s="14">
        <f>SUM(AO3:AO63)</f>
        <v>0</v>
      </c>
      <c r="AQ64" s="210" t="s">
        <v>41</v>
      </c>
      <c r="AR64" s="210"/>
      <c r="AS64" s="14">
        <f t="shared" ref="AS64" si="6">SUM(AS3:AS63)</f>
        <v>0</v>
      </c>
      <c r="AT64" s="14"/>
      <c r="AU64" s="14">
        <f>SUM(AU3:AU63)</f>
        <v>0</v>
      </c>
      <c r="AV64" s="14">
        <f>SUM(AV3:AV63)</f>
        <v>0</v>
      </c>
      <c r="AX64" s="210" t="s">
        <v>41</v>
      </c>
      <c r="AY64" s="210"/>
      <c r="AZ64" s="14">
        <f t="shared" ref="AZ64" si="7">SUM(AZ3:AZ63)</f>
        <v>0</v>
      </c>
      <c r="BA64" s="14"/>
      <c r="BB64" s="14">
        <f>SUM(BB3:BB63)</f>
        <v>0</v>
      </c>
      <c r="BC64" s="14">
        <f>SUM(BC3:BC63)</f>
        <v>0</v>
      </c>
      <c r="BE64" s="210" t="s">
        <v>41</v>
      </c>
      <c r="BF64" s="210"/>
      <c r="BG64" s="14">
        <f t="shared" ref="BG64" si="8">SUM(BG3:BG63)</f>
        <v>179759.408</v>
      </c>
      <c r="BH64" s="14"/>
      <c r="BI64" s="14">
        <f>SUM(BI3:BI63)</f>
        <v>265.00085897030965</v>
      </c>
      <c r="BJ64" s="14">
        <f>SUM(BJ3:BJ63)</f>
        <v>0</v>
      </c>
      <c r="BL64" s="210" t="s">
        <v>41</v>
      </c>
      <c r="BM64" s="210"/>
      <c r="BN64" s="14">
        <f t="shared" ref="BN64" si="9">SUM(BN3:BN63)</f>
        <v>0</v>
      </c>
      <c r="BO64" s="14"/>
      <c r="BP64" s="14">
        <f>SUM(BP3:BP63)</f>
        <v>0</v>
      </c>
      <c r="BQ64" s="14">
        <f>SUM(BQ3:BQ63)</f>
        <v>233</v>
      </c>
      <c r="BS64" s="210" t="s">
        <v>41</v>
      </c>
      <c r="BT64" s="210"/>
      <c r="BU64" s="14">
        <f t="shared" ref="BU64" si="10">SUM(BU3:BU63)</f>
        <v>0</v>
      </c>
      <c r="BV64" s="14"/>
      <c r="BW64" s="14">
        <f>SUM(BW3:BW63)</f>
        <v>0</v>
      </c>
      <c r="BX64" s="14">
        <f>SUM(BX3:BX63)</f>
        <v>0</v>
      </c>
      <c r="BZ64" s="210" t="s">
        <v>41</v>
      </c>
      <c r="CA64" s="210"/>
      <c r="CB64" s="14">
        <f t="shared" ref="CB64" si="11">SUM(CB3:CB63)</f>
        <v>0</v>
      </c>
      <c r="CC64" s="14"/>
      <c r="CD64" s="14">
        <f>SUM(CD3:CD63)</f>
        <v>0</v>
      </c>
      <c r="CE64" s="14">
        <f>SUM(CE3:CE63)</f>
        <v>0</v>
      </c>
      <c r="CG64" s="210" t="s">
        <v>41</v>
      </c>
      <c r="CH64" s="210"/>
      <c r="CI64" s="14">
        <f t="shared" ref="CI64" si="12">SUM(CI3:CI63)</f>
        <v>0</v>
      </c>
      <c r="CJ64" s="14"/>
      <c r="CK64" s="14">
        <f>SUM(CK3:CK63)</f>
        <v>0</v>
      </c>
      <c r="CL64" s="14">
        <f>SUM(CL3:CL63)</f>
        <v>0</v>
      </c>
    </row>
    <row r="65" spans="1:90" x14ac:dyDescent="0.25">
      <c r="A65" s="208" t="s">
        <v>42</v>
      </c>
      <c r="B65" s="208"/>
      <c r="C65" s="208"/>
      <c r="D65" s="209"/>
      <c r="E65" s="53"/>
      <c r="F65" s="54">
        <f>E64+F64</f>
        <v>0</v>
      </c>
      <c r="G65" s="52"/>
      <c r="H65" s="208" t="s">
        <v>42</v>
      </c>
      <c r="I65" s="208"/>
      <c r="J65" s="208"/>
      <c r="K65" s="209"/>
      <c r="L65" s="53"/>
      <c r="M65" s="54">
        <f>L64+M64</f>
        <v>0</v>
      </c>
      <c r="N65" s="52"/>
      <c r="O65" s="208" t="s">
        <v>42</v>
      </c>
      <c r="P65" s="208"/>
      <c r="Q65" s="208"/>
      <c r="R65" s="209"/>
      <c r="S65" s="53"/>
      <c r="T65" s="54">
        <f>S64+T64</f>
        <v>934</v>
      </c>
      <c r="V65" s="208" t="s">
        <v>42</v>
      </c>
      <c r="W65" s="208"/>
      <c r="X65" s="208"/>
      <c r="Y65" s="209"/>
      <c r="Z65" s="53"/>
      <c r="AA65" s="54">
        <f>Z64+AA64</f>
        <v>8</v>
      </c>
      <c r="AC65" s="208" t="s">
        <v>42</v>
      </c>
      <c r="AD65" s="208"/>
      <c r="AE65" s="208"/>
      <c r="AF65" s="209"/>
      <c r="AG65" s="53"/>
      <c r="AH65" s="54">
        <f>AG64+AH64</f>
        <v>0</v>
      </c>
      <c r="AJ65" s="208" t="s">
        <v>42</v>
      </c>
      <c r="AK65" s="208"/>
      <c r="AL65" s="208"/>
      <c r="AM65" s="209"/>
      <c r="AN65" s="53"/>
      <c r="AO65" s="54">
        <f>AN64+AO64</f>
        <v>107.12</v>
      </c>
      <c r="AQ65" s="208" t="s">
        <v>42</v>
      </c>
      <c r="AR65" s="208"/>
      <c r="AS65" s="208"/>
      <c r="AT65" s="209"/>
      <c r="AU65" s="53"/>
      <c r="AV65" s="54">
        <f>AU64+AV64</f>
        <v>0</v>
      </c>
      <c r="AX65" s="208" t="s">
        <v>42</v>
      </c>
      <c r="AY65" s="208"/>
      <c r="AZ65" s="208"/>
      <c r="BA65" s="209"/>
      <c r="BB65" s="53"/>
      <c r="BC65" s="54">
        <f>BB64+BC64</f>
        <v>0</v>
      </c>
      <c r="BE65" s="208" t="s">
        <v>42</v>
      </c>
      <c r="BF65" s="208"/>
      <c r="BG65" s="208"/>
      <c r="BH65" s="209"/>
      <c r="BI65" s="53"/>
      <c r="BJ65" s="54">
        <f>BI64+BJ64</f>
        <v>265.00085897030965</v>
      </c>
      <c r="BL65" s="208" t="s">
        <v>42</v>
      </c>
      <c r="BM65" s="208"/>
      <c r="BN65" s="208"/>
      <c r="BO65" s="209"/>
      <c r="BP65" s="53"/>
      <c r="BQ65" s="54">
        <f>BP64+BQ64</f>
        <v>233</v>
      </c>
      <c r="BS65" s="208" t="s">
        <v>42</v>
      </c>
      <c r="BT65" s="208"/>
      <c r="BU65" s="208"/>
      <c r="BV65" s="209"/>
      <c r="BW65" s="53"/>
      <c r="BX65" s="54">
        <f>BW64+BX64</f>
        <v>0</v>
      </c>
      <c r="BZ65" s="208" t="s">
        <v>42</v>
      </c>
      <c r="CA65" s="208"/>
      <c r="CB65" s="208"/>
      <c r="CC65" s="209"/>
      <c r="CD65" s="53"/>
      <c r="CE65" s="54">
        <f>CD64+CE64</f>
        <v>0</v>
      </c>
      <c r="CG65" s="208" t="s">
        <v>42</v>
      </c>
      <c r="CH65" s="208"/>
      <c r="CI65" s="208"/>
      <c r="CJ65" s="209"/>
      <c r="CK65" s="53"/>
      <c r="CL65" s="54">
        <f>CK64+CL64</f>
        <v>0</v>
      </c>
    </row>
    <row r="66" spans="1:90" x14ac:dyDescent="0.25">
      <c r="AL66" s="194"/>
      <c r="AM66" s="194"/>
      <c r="AN66" s="205"/>
      <c r="AO66" s="205"/>
    </row>
    <row r="67" spans="1:90" x14ac:dyDescent="0.25">
      <c r="AN67" s="206"/>
      <c r="AO67" s="207"/>
    </row>
    <row r="71" spans="1:90" x14ac:dyDescent="0.25">
      <c r="A71" s="211" t="s">
        <v>48</v>
      </c>
      <c r="B71" s="211"/>
      <c r="C71" s="61">
        <f>C64+J64+Q64+X64+AE64+AL64+AS64+AZ64+BG64+BN64+BU64+CB64+CI64</f>
        <v>255257.128</v>
      </c>
    </row>
    <row r="72" spans="1:90" x14ac:dyDescent="0.25">
      <c r="A72" s="211" t="s">
        <v>49</v>
      </c>
      <c r="B72" s="211"/>
      <c r="C72" s="61">
        <f>F64+M64+T64+AA64+AH64+AO64+AV64+BC64+BJ64+BQ64+BX64+CE64+CL64</f>
        <v>1167</v>
      </c>
    </row>
  </sheetData>
  <mergeCells count="44">
    <mergeCell ref="A71:B71"/>
    <mergeCell ref="A72:B72"/>
    <mergeCell ref="AC1:AH1"/>
    <mergeCell ref="AC65:AF65"/>
    <mergeCell ref="A1:F1"/>
    <mergeCell ref="H1:M1"/>
    <mergeCell ref="H65:K65"/>
    <mergeCell ref="A65:D65"/>
    <mergeCell ref="A64:B64"/>
    <mergeCell ref="H64:I64"/>
    <mergeCell ref="O1:T1"/>
    <mergeCell ref="O65:R65"/>
    <mergeCell ref="O64:P64"/>
    <mergeCell ref="AJ1:AO1"/>
    <mergeCell ref="AJ65:AM65"/>
    <mergeCell ref="AC64:AD64"/>
    <mergeCell ref="AJ64:AK64"/>
    <mergeCell ref="V1:AA1"/>
    <mergeCell ref="V65:Y65"/>
    <mergeCell ref="V64:W64"/>
    <mergeCell ref="BE64:BF64"/>
    <mergeCell ref="BL64:BM64"/>
    <mergeCell ref="AQ1:AV1"/>
    <mergeCell ref="AQ65:AT65"/>
    <mergeCell ref="AX1:BC1"/>
    <mergeCell ref="AX65:BA65"/>
    <mergeCell ref="AQ64:AR64"/>
    <mergeCell ref="AX64:AY64"/>
    <mergeCell ref="AL66:AM66"/>
    <mergeCell ref="AN66:AO66"/>
    <mergeCell ref="AN67:AO67"/>
    <mergeCell ref="CG1:CL1"/>
    <mergeCell ref="CG65:CJ65"/>
    <mergeCell ref="BS1:BX1"/>
    <mergeCell ref="BS65:BV65"/>
    <mergeCell ref="BZ1:CE1"/>
    <mergeCell ref="BZ65:CC65"/>
    <mergeCell ref="BS64:BT64"/>
    <mergeCell ref="BZ64:CA64"/>
    <mergeCell ref="CG64:CH64"/>
    <mergeCell ref="BE1:BJ1"/>
    <mergeCell ref="BE65:BH65"/>
    <mergeCell ref="BL1:BQ1"/>
    <mergeCell ref="BL65:BO65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36DF-B7C7-41F4-BD1C-DF55BFB3B5BD}">
  <dimension ref="A1:N76"/>
  <sheetViews>
    <sheetView topLeftCell="A5" zoomScaleNormal="100" workbookViewId="0">
      <selection activeCell="I9" sqref="I9"/>
    </sheetView>
  </sheetViews>
  <sheetFormatPr baseColWidth="10" defaultRowHeight="15" x14ac:dyDescent="0.25"/>
  <cols>
    <col min="1" max="1" width="5.5703125" customWidth="1"/>
    <col min="2" max="2" width="13.28515625" customWidth="1"/>
    <col min="3" max="3" width="16" customWidth="1"/>
    <col min="4" max="4" width="17.28515625" customWidth="1"/>
    <col min="5" max="5" width="14.42578125" customWidth="1"/>
    <col min="6" max="6" width="30.28515625" customWidth="1"/>
    <col min="8" max="8" width="18" customWidth="1"/>
    <col min="10" max="10" width="19" customWidth="1"/>
    <col min="11" max="11" width="10.5703125" customWidth="1"/>
    <col min="12" max="12" width="9.42578125" customWidth="1"/>
    <col min="14" max="14" width="13.5703125" customWidth="1"/>
  </cols>
  <sheetData>
    <row r="1" spans="1:14" x14ac:dyDescent="0.25">
      <c r="A1" s="215" t="s">
        <v>45</v>
      </c>
      <c r="B1" s="215"/>
      <c r="C1" s="215"/>
      <c r="D1" s="215"/>
      <c r="E1" s="215"/>
      <c r="F1" s="69"/>
    </row>
    <row r="2" spans="1:14" ht="45" x14ac:dyDescent="0.25">
      <c r="A2" s="15" t="s">
        <v>2</v>
      </c>
      <c r="B2" s="16" t="s">
        <v>1</v>
      </c>
      <c r="C2" s="15"/>
      <c r="D2" s="60" t="s">
        <v>47</v>
      </c>
      <c r="E2" s="55" t="s">
        <v>46</v>
      </c>
      <c r="F2" s="70"/>
      <c r="G2" s="56"/>
      <c r="K2" s="100" t="s">
        <v>1</v>
      </c>
      <c r="L2" s="101" t="s">
        <v>122</v>
      </c>
      <c r="M2" s="102" t="s">
        <v>123</v>
      </c>
      <c r="N2" s="103" t="s">
        <v>124</v>
      </c>
    </row>
    <row r="3" spans="1:14" x14ac:dyDescent="0.25">
      <c r="A3" s="15">
        <v>1</v>
      </c>
      <c r="B3" s="16"/>
      <c r="C3" s="16" t="s">
        <v>135</v>
      </c>
      <c r="D3" s="96">
        <v>0</v>
      </c>
      <c r="E3" s="96">
        <v>0</v>
      </c>
      <c r="F3" s="70"/>
      <c r="G3" s="56"/>
      <c r="K3" s="15"/>
      <c r="L3" s="91"/>
      <c r="M3" s="16"/>
      <c r="N3" s="90"/>
    </row>
    <row r="4" spans="1:14" x14ac:dyDescent="0.25">
      <c r="A4" s="15">
        <v>2</v>
      </c>
      <c r="B4" s="16"/>
      <c r="C4" s="16" t="s">
        <v>136</v>
      </c>
      <c r="D4" s="96">
        <v>490</v>
      </c>
      <c r="E4" s="96">
        <v>158</v>
      </c>
      <c r="F4" s="70" t="s">
        <v>107</v>
      </c>
      <c r="G4" s="96">
        <v>490</v>
      </c>
      <c r="H4" s="96">
        <v>158</v>
      </c>
      <c r="K4" s="15"/>
      <c r="L4" s="91"/>
      <c r="M4" s="16"/>
      <c r="N4" s="90"/>
    </row>
    <row r="5" spans="1:14" x14ac:dyDescent="0.25">
      <c r="A5" s="7">
        <v>1</v>
      </c>
      <c r="B5" s="7"/>
      <c r="C5" s="7" t="s">
        <v>6</v>
      </c>
      <c r="D5" s="97">
        <f>'INGRESO WENDY'!E64</f>
        <v>989768.89999999991</v>
      </c>
      <c r="E5" s="97">
        <f>+'INGRESO WENDY'!J64+'INGRESO WENDY'!K64</f>
        <v>862</v>
      </c>
      <c r="F5" s="59"/>
      <c r="G5" s="56"/>
      <c r="H5" s="104"/>
      <c r="I5" s="51"/>
      <c r="K5" s="89">
        <v>46149</v>
      </c>
      <c r="L5" s="1">
        <v>496.83</v>
      </c>
      <c r="M5" s="1">
        <v>583.86</v>
      </c>
      <c r="N5" s="146">
        <v>652.5</v>
      </c>
    </row>
    <row r="6" spans="1:14" x14ac:dyDescent="0.25">
      <c r="A6" s="7">
        <v>2</v>
      </c>
      <c r="B6" s="7"/>
      <c r="C6" s="7" t="s">
        <v>44</v>
      </c>
      <c r="D6" s="97">
        <f>+'INGRESO DETALLADO INDIVIDUAL'!C71</f>
        <v>255257.128</v>
      </c>
      <c r="E6" s="97">
        <f>+'INGRESO DETALLADO INDIVIDUAL'!C72</f>
        <v>1167</v>
      </c>
      <c r="F6" s="59"/>
      <c r="G6" s="56"/>
      <c r="H6" s="104"/>
      <c r="I6" s="51"/>
      <c r="K6" s="89">
        <v>46150</v>
      </c>
      <c r="L6" s="1">
        <v>499.86</v>
      </c>
      <c r="M6" s="1">
        <v>588.09</v>
      </c>
      <c r="N6" s="146">
        <v>658.7</v>
      </c>
    </row>
    <row r="7" spans="1:14" x14ac:dyDescent="0.25">
      <c r="A7" s="213" t="s">
        <v>51</v>
      </c>
      <c r="B7" s="213"/>
      <c r="C7" s="213"/>
      <c r="D7" s="62">
        <f>SUM(D3:D6)</f>
        <v>1245516.0279999999</v>
      </c>
      <c r="E7" s="62">
        <f>SUM(E3:E6)</f>
        <v>2187</v>
      </c>
      <c r="F7" s="62"/>
      <c r="G7" s="56"/>
      <c r="K7" s="89">
        <v>46153</v>
      </c>
      <c r="L7" s="1">
        <v>500.46</v>
      </c>
      <c r="M7" s="1">
        <v>589.27</v>
      </c>
      <c r="N7" s="146">
        <v>647.6</v>
      </c>
    </row>
    <row r="8" spans="1:14" x14ac:dyDescent="0.25">
      <c r="A8" s="64"/>
      <c r="B8" s="64"/>
      <c r="C8" s="64"/>
      <c r="D8" s="62"/>
      <c r="E8" s="62"/>
      <c r="F8" s="62"/>
      <c r="G8" s="56"/>
      <c r="K8" s="89">
        <v>46154</v>
      </c>
      <c r="L8" s="1">
        <v>504.91</v>
      </c>
      <c r="M8" s="1">
        <v>595.04999999999995</v>
      </c>
      <c r="N8" s="146">
        <v>651.84</v>
      </c>
    </row>
    <row r="9" spans="1:14" x14ac:dyDescent="0.25">
      <c r="A9" s="58"/>
      <c r="B9" s="58"/>
      <c r="C9" s="58"/>
      <c r="D9" s="59"/>
      <c r="E9" s="59"/>
      <c r="F9" s="59"/>
      <c r="G9" s="56"/>
      <c r="H9" s="29" t="s">
        <v>107</v>
      </c>
      <c r="I9" s="29">
        <v>158</v>
      </c>
      <c r="K9" s="89">
        <v>46155</v>
      </c>
      <c r="L9" s="1">
        <v>508.6</v>
      </c>
      <c r="M9" s="1">
        <v>596.6</v>
      </c>
      <c r="N9" s="146">
        <v>660.27</v>
      </c>
    </row>
    <row r="10" spans="1:14" x14ac:dyDescent="0.25">
      <c r="A10" s="216" t="s">
        <v>53</v>
      </c>
      <c r="B10" s="216"/>
      <c r="C10" s="216"/>
      <c r="D10" s="216"/>
      <c r="E10" s="216"/>
      <c r="F10" s="71"/>
      <c r="G10" s="56"/>
      <c r="H10" s="29" t="s">
        <v>108</v>
      </c>
      <c r="I10" s="4">
        <f>+'INGRESO WENDY'!J64+'INGRESO DETALLADO INDIVIDUAL'!C72+'INGRESO WENDY'!K64</f>
        <v>2029</v>
      </c>
      <c r="K10" s="89">
        <v>46156</v>
      </c>
      <c r="L10" s="29">
        <v>510.78</v>
      </c>
      <c r="M10" s="29">
        <v>598.12</v>
      </c>
      <c r="N10" s="152">
        <v>665.51</v>
      </c>
    </row>
    <row r="11" spans="1:14" x14ac:dyDescent="0.25">
      <c r="A11" s="63" t="s">
        <v>2</v>
      </c>
      <c r="B11" s="63" t="s">
        <v>1</v>
      </c>
      <c r="C11" s="63" t="s">
        <v>52</v>
      </c>
      <c r="D11" s="66" t="s">
        <v>4</v>
      </c>
      <c r="E11" s="66" t="s">
        <v>5</v>
      </c>
      <c r="F11" s="62"/>
      <c r="G11" s="56"/>
      <c r="H11" s="29" t="s">
        <v>53</v>
      </c>
      <c r="I11" s="4">
        <f>+E70</f>
        <v>1830</v>
      </c>
      <c r="K11" s="89">
        <v>46157</v>
      </c>
      <c r="L11" s="29">
        <v>515.17999999999995</v>
      </c>
      <c r="M11" s="29">
        <v>601.45000000000005</v>
      </c>
      <c r="N11" s="152">
        <v>672.94</v>
      </c>
    </row>
    <row r="12" spans="1:14" x14ac:dyDescent="0.25">
      <c r="A12" s="7">
        <v>1</v>
      </c>
      <c r="B12" s="8">
        <v>46149</v>
      </c>
      <c r="C12" s="67" t="s">
        <v>54</v>
      </c>
      <c r="D12" s="57"/>
      <c r="E12" s="158">
        <v>50</v>
      </c>
      <c r="F12" s="159" t="s">
        <v>119</v>
      </c>
      <c r="G12" s="56"/>
      <c r="H12" s="29" t="s">
        <v>137</v>
      </c>
      <c r="I12" s="105">
        <f>+I9+I10-I11</f>
        <v>357</v>
      </c>
      <c r="K12" s="89">
        <v>46160</v>
      </c>
      <c r="L12" s="29">
        <v>517.96</v>
      </c>
      <c r="M12" s="29">
        <v>602.17999999999995</v>
      </c>
      <c r="N12" s="152">
        <v>700.24</v>
      </c>
    </row>
    <row r="13" spans="1:14" x14ac:dyDescent="0.25">
      <c r="A13" s="7">
        <v>2</v>
      </c>
      <c r="B13" s="8">
        <v>46149</v>
      </c>
      <c r="C13" s="67" t="s">
        <v>55</v>
      </c>
      <c r="D13" s="57"/>
      <c r="E13" s="158">
        <v>174</v>
      </c>
      <c r="F13" s="159" t="s">
        <v>120</v>
      </c>
      <c r="G13" s="56"/>
      <c r="I13" s="88"/>
      <c r="K13" s="89">
        <v>46161</v>
      </c>
      <c r="L13" s="118">
        <v>517.96</v>
      </c>
      <c r="M13" s="118">
        <v>602.17999999999995</v>
      </c>
      <c r="N13" s="152">
        <v>714.74</v>
      </c>
    </row>
    <row r="14" spans="1:14" x14ac:dyDescent="0.25">
      <c r="A14" s="7">
        <v>3</v>
      </c>
      <c r="B14" s="8">
        <v>46149</v>
      </c>
      <c r="C14" s="67" t="s">
        <v>56</v>
      </c>
      <c r="D14" s="57"/>
      <c r="E14" s="158">
        <v>107</v>
      </c>
      <c r="F14" s="159" t="s">
        <v>121</v>
      </c>
      <c r="G14" s="56"/>
      <c r="H14" s="212"/>
      <c r="I14" s="212"/>
      <c r="K14" s="89">
        <v>46162</v>
      </c>
      <c r="L14" s="29">
        <v>520.91</v>
      </c>
      <c r="M14" s="29">
        <v>604.15</v>
      </c>
      <c r="N14" s="152">
        <v>703.59</v>
      </c>
    </row>
    <row r="15" spans="1:14" x14ac:dyDescent="0.25">
      <c r="A15" s="7">
        <v>4</v>
      </c>
      <c r="B15" s="8">
        <v>46149</v>
      </c>
      <c r="C15" s="67" t="s">
        <v>57</v>
      </c>
      <c r="D15" s="57">
        <v>69895.8</v>
      </c>
      <c r="E15" s="57"/>
      <c r="F15" s="59" t="s">
        <v>144</v>
      </c>
      <c r="G15" s="56"/>
      <c r="H15" s="155" t="s">
        <v>157</v>
      </c>
      <c r="I15" s="156">
        <v>4</v>
      </c>
      <c r="K15" s="89">
        <v>46163</v>
      </c>
      <c r="L15" s="29">
        <v>523.66999999999996</v>
      </c>
      <c r="M15" s="29">
        <v>609.34</v>
      </c>
      <c r="N15" s="152">
        <v>712.74</v>
      </c>
    </row>
    <row r="16" spans="1:14" x14ac:dyDescent="0.25">
      <c r="A16" s="7">
        <v>5</v>
      </c>
      <c r="B16" s="8">
        <v>46149</v>
      </c>
      <c r="C16" s="67" t="s">
        <v>58</v>
      </c>
      <c r="D16" s="57"/>
      <c r="E16" s="57"/>
      <c r="F16" s="59"/>
      <c r="G16" s="56"/>
      <c r="H16" s="155" t="s">
        <v>158</v>
      </c>
      <c r="I16" s="156">
        <v>2</v>
      </c>
    </row>
    <row r="17" spans="1:9" x14ac:dyDescent="0.25">
      <c r="A17" s="7">
        <v>6</v>
      </c>
      <c r="B17" s="8">
        <v>46149</v>
      </c>
      <c r="C17" s="67" t="s">
        <v>59</v>
      </c>
      <c r="D17" s="57">
        <v>67503.89</v>
      </c>
      <c r="E17" s="57"/>
      <c r="F17" s="59" t="s">
        <v>144</v>
      </c>
      <c r="G17" s="56"/>
      <c r="H17" s="155" t="s">
        <v>158</v>
      </c>
      <c r="I17" s="143">
        <v>5</v>
      </c>
    </row>
    <row r="18" spans="1:9" x14ac:dyDescent="0.25">
      <c r="A18" s="7">
        <v>7</v>
      </c>
      <c r="B18" s="8">
        <v>46150</v>
      </c>
      <c r="C18" s="67" t="s">
        <v>60</v>
      </c>
      <c r="D18" s="57">
        <v>146824.6</v>
      </c>
      <c r="E18" s="57"/>
      <c r="F18" s="59" t="s">
        <v>144</v>
      </c>
      <c r="G18" s="106"/>
      <c r="H18" s="157"/>
      <c r="I18" s="155"/>
    </row>
    <row r="19" spans="1:9" x14ac:dyDescent="0.25">
      <c r="A19" s="7">
        <v>8</v>
      </c>
      <c r="B19" s="8">
        <v>46153</v>
      </c>
      <c r="C19" s="67" t="s">
        <v>61</v>
      </c>
      <c r="D19" s="57">
        <v>49217.599999999999</v>
      </c>
      <c r="E19" s="57"/>
      <c r="F19" s="59" t="s">
        <v>144</v>
      </c>
      <c r="G19" s="106"/>
      <c r="H19" s="59"/>
      <c r="I19" s="36">
        <f>+I12+I15+I16+I17+I18</f>
        <v>368</v>
      </c>
    </row>
    <row r="20" spans="1:9" x14ac:dyDescent="0.25">
      <c r="A20" s="7">
        <v>9</v>
      </c>
      <c r="B20" s="8">
        <v>46154</v>
      </c>
      <c r="C20" s="67" t="s">
        <v>62</v>
      </c>
      <c r="D20" s="57">
        <v>48236.160000000003</v>
      </c>
      <c r="E20" s="57"/>
      <c r="F20" s="59" t="s">
        <v>144</v>
      </c>
      <c r="G20" s="56"/>
      <c r="H20" s="172" t="s">
        <v>181</v>
      </c>
      <c r="I20" s="143">
        <f>+D74</f>
        <v>2490.0979999997653</v>
      </c>
    </row>
    <row r="21" spans="1:9" x14ac:dyDescent="0.25">
      <c r="A21" s="7">
        <v>10</v>
      </c>
      <c r="B21" s="8">
        <v>46154</v>
      </c>
      <c r="C21" s="67" t="s">
        <v>63</v>
      </c>
      <c r="D21" s="57">
        <v>0</v>
      </c>
      <c r="E21" s="168">
        <v>106</v>
      </c>
      <c r="F21" s="169" t="s">
        <v>14</v>
      </c>
      <c r="G21" s="56"/>
    </row>
    <row r="22" spans="1:9" x14ac:dyDescent="0.25">
      <c r="A22" s="7">
        <v>11</v>
      </c>
      <c r="B22" s="8">
        <v>46155</v>
      </c>
      <c r="C22" s="67" t="s">
        <v>64</v>
      </c>
      <c r="D22" s="37">
        <v>46218.9</v>
      </c>
      <c r="E22" s="57"/>
      <c r="F22" s="59" t="s">
        <v>144</v>
      </c>
      <c r="G22" s="56"/>
      <c r="H22" s="36"/>
    </row>
    <row r="23" spans="1:9" x14ac:dyDescent="0.25">
      <c r="A23" s="7">
        <v>12</v>
      </c>
      <c r="B23" s="8">
        <v>46155</v>
      </c>
      <c r="C23" s="67" t="s">
        <v>65</v>
      </c>
      <c r="D23" s="97">
        <v>109340.72</v>
      </c>
      <c r="E23" s="57"/>
      <c r="F23" s="119" t="s">
        <v>147</v>
      </c>
      <c r="G23" s="117"/>
      <c r="H23" s="36"/>
    </row>
    <row r="24" spans="1:9" x14ac:dyDescent="0.25">
      <c r="A24" s="7">
        <v>13</v>
      </c>
      <c r="B24" s="8">
        <v>46155</v>
      </c>
      <c r="C24" s="67" t="s">
        <v>66</v>
      </c>
      <c r="D24" s="113">
        <v>12148.97</v>
      </c>
      <c r="E24" s="57"/>
      <c r="F24" s="116" t="s">
        <v>148</v>
      </c>
      <c r="G24" s="117"/>
      <c r="H24" s="36"/>
    </row>
    <row r="25" spans="1:9" x14ac:dyDescent="0.25">
      <c r="A25" s="7">
        <v>14</v>
      </c>
      <c r="B25" s="8">
        <v>46156</v>
      </c>
      <c r="C25" s="67" t="s">
        <v>67</v>
      </c>
      <c r="D25" s="37">
        <v>34606.519999999997</v>
      </c>
      <c r="E25" s="57"/>
      <c r="F25" s="120" t="s">
        <v>144</v>
      </c>
      <c r="G25" s="56"/>
      <c r="H25" s="36"/>
    </row>
    <row r="26" spans="1:9" x14ac:dyDescent="0.25">
      <c r="A26" s="7">
        <v>15</v>
      </c>
      <c r="B26" s="8">
        <v>46157</v>
      </c>
      <c r="C26" s="67" t="s">
        <v>68</v>
      </c>
      <c r="D26" s="121"/>
      <c r="E26" s="168">
        <v>160</v>
      </c>
      <c r="F26" s="169" t="s">
        <v>14</v>
      </c>
      <c r="G26" s="56"/>
    </row>
    <row r="27" spans="1:9" x14ac:dyDescent="0.25">
      <c r="A27" s="7">
        <v>16</v>
      </c>
      <c r="B27" s="8">
        <v>46157</v>
      </c>
      <c r="C27" s="67" t="s">
        <v>69</v>
      </c>
      <c r="D27" s="37">
        <f>37011.7+4710.57+20861.12</f>
        <v>62583.39</v>
      </c>
      <c r="E27" s="57"/>
      <c r="F27" s="120" t="s">
        <v>144</v>
      </c>
      <c r="G27" s="56"/>
    </row>
    <row r="28" spans="1:9" x14ac:dyDescent="0.25">
      <c r="A28" s="7">
        <v>17</v>
      </c>
      <c r="B28" s="8">
        <v>46160</v>
      </c>
      <c r="C28" s="67" t="s">
        <v>70</v>
      </c>
      <c r="D28" s="37">
        <f>71424.19+23808.16</f>
        <v>95232.35</v>
      </c>
      <c r="E28" s="57"/>
      <c r="F28" s="119" t="s">
        <v>144</v>
      </c>
      <c r="G28" s="56"/>
    </row>
    <row r="29" spans="1:9" x14ac:dyDescent="0.25">
      <c r="A29" s="7">
        <v>18</v>
      </c>
      <c r="B29" s="8">
        <v>46160</v>
      </c>
      <c r="C29" s="67" t="s">
        <v>71</v>
      </c>
      <c r="D29" s="57"/>
      <c r="E29" s="168">
        <v>165</v>
      </c>
      <c r="F29" s="169" t="s">
        <v>14</v>
      </c>
      <c r="G29" s="56"/>
    </row>
    <row r="30" spans="1:9" x14ac:dyDescent="0.25">
      <c r="A30" s="7">
        <v>19</v>
      </c>
      <c r="B30" s="8">
        <v>46160</v>
      </c>
      <c r="C30" s="67" t="s">
        <v>72</v>
      </c>
      <c r="D30" s="113">
        <v>5601.92</v>
      </c>
      <c r="E30" s="57"/>
      <c r="F30" s="116" t="s">
        <v>154</v>
      </c>
      <c r="G30" s="56"/>
    </row>
    <row r="31" spans="1:9" x14ac:dyDescent="0.25">
      <c r="A31" s="7">
        <v>20</v>
      </c>
      <c r="B31" s="8">
        <v>46161</v>
      </c>
      <c r="C31" s="67" t="s">
        <v>73</v>
      </c>
      <c r="D31" s="57">
        <v>0</v>
      </c>
      <c r="E31" s="158">
        <v>60</v>
      </c>
      <c r="F31" s="159" t="s">
        <v>155</v>
      </c>
      <c r="G31" s="56"/>
    </row>
    <row r="32" spans="1:9" x14ac:dyDescent="0.25">
      <c r="A32" s="7">
        <v>21</v>
      </c>
      <c r="B32" s="8">
        <v>46162</v>
      </c>
      <c r="C32" s="67" t="s">
        <v>74</v>
      </c>
      <c r="D32" s="10">
        <f>23218.47+48547.71</f>
        <v>71766.179999999993</v>
      </c>
      <c r="E32" s="57"/>
      <c r="F32" s="116" t="s">
        <v>170</v>
      </c>
      <c r="G32" s="56"/>
    </row>
    <row r="33" spans="1:8" x14ac:dyDescent="0.25">
      <c r="A33" s="7">
        <v>22</v>
      </c>
      <c r="B33" s="8">
        <v>46164</v>
      </c>
      <c r="C33" s="67" t="s">
        <v>75</v>
      </c>
      <c r="D33" s="57"/>
      <c r="E33" s="158">
        <v>100</v>
      </c>
      <c r="F33" s="159" t="s">
        <v>162</v>
      </c>
      <c r="G33" s="56"/>
      <c r="H33" s="36"/>
    </row>
    <row r="34" spans="1:8" x14ac:dyDescent="0.25">
      <c r="A34" s="7">
        <v>23</v>
      </c>
      <c r="B34" s="8">
        <v>46163</v>
      </c>
      <c r="C34" s="67" t="s">
        <v>76</v>
      </c>
      <c r="D34" s="10">
        <f>13542.06+14254.8</f>
        <v>27796.86</v>
      </c>
      <c r="E34" s="57"/>
      <c r="F34" s="116" t="s">
        <v>163</v>
      </c>
      <c r="G34" s="56"/>
      <c r="H34" s="36"/>
    </row>
    <row r="35" spans="1:8" x14ac:dyDescent="0.25">
      <c r="A35" s="7">
        <v>24</v>
      </c>
      <c r="B35" s="8">
        <v>46164</v>
      </c>
      <c r="C35" s="67" t="s">
        <v>77</v>
      </c>
      <c r="D35" s="10">
        <f>24926+27189+5008.5</f>
        <v>57123.5</v>
      </c>
      <c r="E35" s="57"/>
      <c r="F35" s="116" t="s">
        <v>163</v>
      </c>
      <c r="G35" s="56"/>
      <c r="H35" s="36"/>
    </row>
    <row r="36" spans="1:8" x14ac:dyDescent="0.25">
      <c r="A36" s="7">
        <v>25</v>
      </c>
      <c r="B36" s="8">
        <v>46160</v>
      </c>
      <c r="C36" s="67" t="s">
        <v>78</v>
      </c>
      <c r="D36" s="10">
        <v>33486</v>
      </c>
      <c r="E36" s="57"/>
      <c r="F36" s="116" t="s">
        <v>163</v>
      </c>
      <c r="G36" s="56"/>
    </row>
    <row r="37" spans="1:8" x14ac:dyDescent="0.25">
      <c r="A37" s="7">
        <v>26</v>
      </c>
      <c r="B37" s="8">
        <v>46167</v>
      </c>
      <c r="C37" s="67" t="s">
        <v>79</v>
      </c>
      <c r="D37" s="10">
        <f>134788.63+8696.04+5072.69</f>
        <v>148557.36000000002</v>
      </c>
      <c r="E37" s="57"/>
      <c r="F37" s="116" t="s">
        <v>163</v>
      </c>
      <c r="G37" s="56"/>
    </row>
    <row r="38" spans="1:8" x14ac:dyDescent="0.25">
      <c r="A38" s="7">
        <v>27</v>
      </c>
      <c r="B38" s="8">
        <v>46167</v>
      </c>
      <c r="C38" s="67" t="s">
        <v>80</v>
      </c>
      <c r="D38" s="10">
        <v>24783.72</v>
      </c>
      <c r="E38" s="113"/>
      <c r="F38" s="116" t="s">
        <v>164</v>
      </c>
      <c r="G38" s="56"/>
    </row>
    <row r="39" spans="1:8" x14ac:dyDescent="0.25">
      <c r="A39" s="7">
        <v>28</v>
      </c>
      <c r="B39" s="8">
        <v>46167</v>
      </c>
      <c r="C39" s="67" t="s">
        <v>81</v>
      </c>
      <c r="D39" s="57"/>
      <c r="E39" s="158">
        <v>40</v>
      </c>
      <c r="F39" s="159" t="s">
        <v>165</v>
      </c>
      <c r="G39" s="56"/>
    </row>
    <row r="40" spans="1:8" x14ac:dyDescent="0.25">
      <c r="A40" s="7">
        <v>29</v>
      </c>
      <c r="B40" s="7"/>
      <c r="C40" s="67" t="s">
        <v>82</v>
      </c>
      <c r="D40" s="57"/>
      <c r="E40" s="158">
        <v>10</v>
      </c>
      <c r="F40" s="159" t="s">
        <v>120</v>
      </c>
      <c r="G40" s="56"/>
    </row>
    <row r="41" spans="1:8" x14ac:dyDescent="0.25">
      <c r="A41" s="7">
        <v>30</v>
      </c>
      <c r="B41" s="8">
        <v>46168</v>
      </c>
      <c r="C41" s="67" t="s">
        <v>83</v>
      </c>
      <c r="D41" s="10">
        <f>54408.4+18613.39+10022.6</f>
        <v>83044.390000000014</v>
      </c>
      <c r="E41" s="57"/>
      <c r="F41" s="59" t="s">
        <v>171</v>
      </c>
      <c r="G41" s="56"/>
    </row>
    <row r="42" spans="1:8" x14ac:dyDescent="0.25">
      <c r="A42" s="7">
        <v>31</v>
      </c>
      <c r="B42" s="7"/>
      <c r="C42" s="67" t="s">
        <v>84</v>
      </c>
      <c r="D42" s="57"/>
      <c r="E42" s="168">
        <v>600</v>
      </c>
      <c r="F42" s="169" t="s">
        <v>14</v>
      </c>
      <c r="G42" s="56"/>
    </row>
    <row r="43" spans="1:8" x14ac:dyDescent="0.25">
      <c r="A43" s="7">
        <v>32</v>
      </c>
      <c r="B43" s="7"/>
      <c r="C43" s="67" t="s">
        <v>85</v>
      </c>
      <c r="D43" s="57"/>
      <c r="E43" s="168">
        <v>148.5</v>
      </c>
      <c r="F43" s="169" t="s">
        <v>14</v>
      </c>
      <c r="G43" s="56"/>
    </row>
    <row r="44" spans="1:8" x14ac:dyDescent="0.25">
      <c r="A44" s="7">
        <v>33</v>
      </c>
      <c r="B44" s="7"/>
      <c r="C44" s="67" t="s">
        <v>86</v>
      </c>
      <c r="D44" s="57"/>
      <c r="E44" s="57">
        <v>84.5</v>
      </c>
      <c r="F44" s="59" t="s">
        <v>172</v>
      </c>
      <c r="G44" s="56"/>
    </row>
    <row r="45" spans="1:8" x14ac:dyDescent="0.25">
      <c r="A45" s="7">
        <v>34</v>
      </c>
      <c r="B45" s="7"/>
      <c r="C45" s="67" t="s">
        <v>87</v>
      </c>
      <c r="D45" s="57"/>
      <c r="E45" s="57">
        <v>25</v>
      </c>
      <c r="F45" s="59" t="s">
        <v>183</v>
      </c>
      <c r="G45" s="56"/>
    </row>
    <row r="46" spans="1:8" ht="19.5" customHeight="1" x14ac:dyDescent="0.25">
      <c r="A46" s="7">
        <v>35</v>
      </c>
      <c r="B46" s="7"/>
      <c r="C46" s="67" t="s">
        <v>88</v>
      </c>
      <c r="D46" s="10">
        <f>21312.1+7698+22047</f>
        <v>51057.1</v>
      </c>
      <c r="E46" s="57"/>
      <c r="F46" s="59" t="s">
        <v>180</v>
      </c>
      <c r="G46" s="56"/>
    </row>
    <row r="47" spans="1:8" x14ac:dyDescent="0.25">
      <c r="A47" s="7">
        <v>36</v>
      </c>
      <c r="B47" s="7"/>
      <c r="C47" s="67" t="s">
        <v>89</v>
      </c>
      <c r="D47" s="57">
        <v>5000</v>
      </c>
      <c r="E47" s="57"/>
      <c r="F47" s="59"/>
      <c r="G47" s="56"/>
    </row>
    <row r="48" spans="1:8" hidden="1" x14ac:dyDescent="0.25">
      <c r="A48" s="7">
        <v>37</v>
      </c>
      <c r="B48" s="7"/>
      <c r="C48" s="67" t="s">
        <v>90</v>
      </c>
      <c r="D48" s="57"/>
      <c r="E48" s="57"/>
      <c r="F48" s="59"/>
      <c r="G48" s="56"/>
    </row>
    <row r="49" spans="1:7" hidden="1" x14ac:dyDescent="0.25">
      <c r="A49" s="7">
        <v>38</v>
      </c>
      <c r="B49" s="7"/>
      <c r="C49" s="67" t="s">
        <v>91</v>
      </c>
      <c r="D49" s="57"/>
      <c r="E49" s="57"/>
      <c r="F49" s="59"/>
      <c r="G49" s="56"/>
    </row>
    <row r="50" spans="1:7" hidden="1" x14ac:dyDescent="0.25">
      <c r="A50" s="7">
        <v>39</v>
      </c>
      <c r="B50" s="7"/>
      <c r="C50" s="67" t="s">
        <v>92</v>
      </c>
      <c r="D50" s="57"/>
      <c r="E50" s="57"/>
      <c r="F50" s="59"/>
      <c r="G50" s="56"/>
    </row>
    <row r="51" spans="1:7" hidden="1" x14ac:dyDescent="0.25">
      <c r="A51" s="7">
        <v>40</v>
      </c>
      <c r="B51" s="7"/>
      <c r="C51" s="67" t="s">
        <v>93</v>
      </c>
      <c r="D51" s="57"/>
      <c r="E51" s="57"/>
      <c r="F51" s="59"/>
      <c r="G51" s="56"/>
    </row>
    <row r="52" spans="1:7" hidden="1" x14ac:dyDescent="0.25">
      <c r="A52" s="7">
        <v>41</v>
      </c>
      <c r="B52" s="7"/>
      <c r="C52" s="67" t="s">
        <v>94</v>
      </c>
      <c r="D52" s="57"/>
      <c r="E52" s="57"/>
      <c r="F52" s="59"/>
      <c r="G52" s="56"/>
    </row>
    <row r="53" spans="1:7" hidden="1" x14ac:dyDescent="0.25">
      <c r="A53" s="7">
        <v>42</v>
      </c>
      <c r="B53" s="7"/>
      <c r="C53" s="67" t="s">
        <v>95</v>
      </c>
      <c r="D53" s="57"/>
      <c r="E53" s="57"/>
      <c r="F53" s="59"/>
      <c r="G53" s="56"/>
    </row>
    <row r="54" spans="1:7" hidden="1" x14ac:dyDescent="0.25">
      <c r="A54" s="7">
        <v>43</v>
      </c>
      <c r="B54" s="7"/>
      <c r="C54" s="67" t="s">
        <v>96</v>
      </c>
      <c r="D54" s="57"/>
      <c r="E54" s="57"/>
      <c r="F54" s="59"/>
      <c r="G54" s="56"/>
    </row>
    <row r="55" spans="1:7" hidden="1" x14ac:dyDescent="0.25">
      <c r="A55" s="7">
        <v>44</v>
      </c>
      <c r="B55" s="7"/>
      <c r="C55" s="67" t="s">
        <v>97</v>
      </c>
      <c r="D55" s="57"/>
      <c r="E55" s="57"/>
      <c r="F55" s="59"/>
      <c r="G55" s="56"/>
    </row>
    <row r="56" spans="1:7" hidden="1" x14ac:dyDescent="0.25">
      <c r="A56" s="7">
        <v>45</v>
      </c>
      <c r="B56" s="7"/>
      <c r="C56" s="67" t="s">
        <v>98</v>
      </c>
      <c r="D56" s="57"/>
      <c r="E56" s="57"/>
      <c r="F56" s="59"/>
      <c r="G56" s="56"/>
    </row>
    <row r="57" spans="1:7" hidden="1" x14ac:dyDescent="0.25">
      <c r="A57" s="7">
        <v>46</v>
      </c>
      <c r="B57" s="7"/>
      <c r="C57" s="67" t="s">
        <v>99</v>
      </c>
      <c r="D57" s="57"/>
      <c r="E57" s="57"/>
      <c r="F57" s="59"/>
      <c r="G57" s="56"/>
    </row>
    <row r="58" spans="1:7" hidden="1" x14ac:dyDescent="0.25">
      <c r="A58" s="7">
        <v>47</v>
      </c>
      <c r="B58" s="7"/>
      <c r="C58" s="67" t="s">
        <v>100</v>
      </c>
      <c r="D58" s="57"/>
      <c r="E58" s="57"/>
      <c r="F58" s="59"/>
      <c r="G58" s="56"/>
    </row>
    <row r="59" spans="1:7" hidden="1" x14ac:dyDescent="0.25">
      <c r="A59" s="7">
        <v>48</v>
      </c>
      <c r="B59" s="7"/>
      <c r="C59" s="67" t="s">
        <v>101</v>
      </c>
      <c r="D59" s="57"/>
      <c r="E59" s="57"/>
      <c r="F59" s="59"/>
      <c r="G59" s="56"/>
    </row>
    <row r="60" spans="1:7" hidden="1" x14ac:dyDescent="0.25">
      <c r="A60" s="7">
        <v>49</v>
      </c>
      <c r="B60" s="7"/>
      <c r="C60" s="67" t="s">
        <v>102</v>
      </c>
      <c r="D60" s="57"/>
      <c r="E60" s="57"/>
      <c r="F60" s="59"/>
      <c r="G60" s="56"/>
    </row>
    <row r="61" spans="1:7" hidden="1" x14ac:dyDescent="0.25">
      <c r="A61" s="7">
        <v>50</v>
      </c>
      <c r="B61" s="7"/>
      <c r="C61" s="67" t="s">
        <v>103</v>
      </c>
      <c r="D61" s="57"/>
      <c r="E61" s="57"/>
      <c r="F61" s="59"/>
      <c r="G61" s="56"/>
    </row>
    <row r="62" spans="1:7" hidden="1" x14ac:dyDescent="0.25">
      <c r="A62" s="7">
        <v>51</v>
      </c>
      <c r="B62" s="7"/>
      <c r="C62" s="67" t="s">
        <v>104</v>
      </c>
      <c r="D62" s="57"/>
      <c r="E62" s="57"/>
      <c r="F62" s="59"/>
      <c r="G62" s="56"/>
    </row>
    <row r="63" spans="1:7" hidden="1" x14ac:dyDescent="0.25">
      <c r="A63" s="7">
        <v>52</v>
      </c>
      <c r="B63" s="7"/>
      <c r="C63" s="67" t="s">
        <v>105</v>
      </c>
      <c r="D63" s="57"/>
      <c r="E63" s="57"/>
      <c r="F63" s="59"/>
      <c r="G63" s="56"/>
    </row>
    <row r="64" spans="1:7" hidden="1" x14ac:dyDescent="0.25">
      <c r="A64" s="7">
        <v>53</v>
      </c>
      <c r="B64" s="7"/>
      <c r="C64" s="67" t="s">
        <v>106</v>
      </c>
      <c r="D64" s="57"/>
      <c r="E64" s="57"/>
      <c r="F64" s="59"/>
      <c r="G64" s="56"/>
    </row>
    <row r="65" spans="1:7" hidden="1" x14ac:dyDescent="0.25">
      <c r="A65" s="7">
        <v>54</v>
      </c>
      <c r="B65" s="7"/>
      <c r="C65" s="67" t="s">
        <v>114</v>
      </c>
      <c r="D65" s="57"/>
      <c r="E65" s="57"/>
      <c r="F65" s="59"/>
      <c r="G65" s="56"/>
    </row>
    <row r="66" spans="1:7" hidden="1" x14ac:dyDescent="0.25">
      <c r="A66" s="7">
        <v>55</v>
      </c>
      <c r="B66" s="7"/>
      <c r="C66" s="67" t="s">
        <v>115</v>
      </c>
      <c r="D66" s="57"/>
      <c r="E66" s="57"/>
      <c r="F66" s="59"/>
      <c r="G66" s="56"/>
    </row>
    <row r="67" spans="1:7" hidden="1" x14ac:dyDescent="0.25">
      <c r="A67" s="7">
        <v>56</v>
      </c>
      <c r="B67" s="7"/>
      <c r="C67" s="67" t="s">
        <v>116</v>
      </c>
      <c r="D67" s="57"/>
      <c r="E67" s="57"/>
      <c r="F67" s="59"/>
      <c r="G67" s="56"/>
    </row>
    <row r="68" spans="1:7" hidden="1" x14ac:dyDescent="0.25">
      <c r="A68" s="7">
        <v>57</v>
      </c>
      <c r="B68" s="7"/>
      <c r="C68" s="67" t="s">
        <v>117</v>
      </c>
      <c r="D68" s="57"/>
      <c r="E68" s="57"/>
      <c r="F68" s="59"/>
      <c r="G68" s="56"/>
    </row>
    <row r="69" spans="1:7" x14ac:dyDescent="0.25">
      <c r="A69" s="7">
        <v>58</v>
      </c>
      <c r="B69" s="7"/>
      <c r="C69" s="67" t="s">
        <v>118</v>
      </c>
      <c r="D69" s="57"/>
      <c r="E69" s="57"/>
      <c r="F69" s="59"/>
      <c r="G69" s="56"/>
    </row>
    <row r="70" spans="1:7" x14ac:dyDescent="0.25">
      <c r="A70" s="213" t="s">
        <v>50</v>
      </c>
      <c r="B70" s="213"/>
      <c r="C70" s="213"/>
      <c r="D70" s="94">
        <f>SUM(D12:D69)</f>
        <v>1250025.9300000002</v>
      </c>
      <c r="E70" s="94">
        <f>SUM(E12:E69)</f>
        <v>1830</v>
      </c>
      <c r="F70" s="65"/>
      <c r="G70" s="56"/>
    </row>
    <row r="71" spans="1:7" x14ac:dyDescent="0.25">
      <c r="D71" s="56"/>
      <c r="E71" s="56"/>
      <c r="F71" s="56"/>
      <c r="G71" s="56"/>
    </row>
    <row r="72" spans="1:7" x14ac:dyDescent="0.25">
      <c r="B72" s="214" t="s">
        <v>134</v>
      </c>
      <c r="C72" s="214"/>
      <c r="D72" s="95">
        <f>D7-D70</f>
        <v>-4509.9020000002347</v>
      </c>
      <c r="E72" s="95">
        <f>E7-E70</f>
        <v>357</v>
      </c>
      <c r="F72" s="56"/>
      <c r="G72" s="56"/>
    </row>
    <row r="73" spans="1:7" x14ac:dyDescent="0.25">
      <c r="C73" t="s">
        <v>182</v>
      </c>
      <c r="D73" s="36">
        <f>+'INGRESO WENDY'!H64</f>
        <v>7000</v>
      </c>
    </row>
    <row r="74" spans="1:7" x14ac:dyDescent="0.25">
      <c r="B74" s="214"/>
      <c r="C74" s="214"/>
      <c r="D74" s="162">
        <f>+D72+D73</f>
        <v>2490.0979999997653</v>
      </c>
      <c r="E74" s="162"/>
    </row>
    <row r="76" spans="1:7" x14ac:dyDescent="0.25">
      <c r="B76" s="214"/>
      <c r="C76" s="214"/>
      <c r="D76" s="3"/>
      <c r="E76" s="3"/>
    </row>
  </sheetData>
  <mergeCells count="8">
    <mergeCell ref="A1:E1"/>
    <mergeCell ref="A7:C7"/>
    <mergeCell ref="A10:E10"/>
    <mergeCell ref="H14:I14"/>
    <mergeCell ref="A70:C70"/>
    <mergeCell ref="B74:C74"/>
    <mergeCell ref="B76:C76"/>
    <mergeCell ref="B72:C72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FEB5-5B45-4E2C-9A16-1ADA4FCCE388}">
  <sheetPr>
    <pageSetUpPr fitToPage="1"/>
  </sheetPr>
  <dimension ref="A1:P20"/>
  <sheetViews>
    <sheetView view="pageBreakPreview" topLeftCell="A15" zoomScale="60" zoomScaleNormal="100" workbookViewId="0">
      <selection activeCell="B1" sqref="B1:M20"/>
    </sheetView>
  </sheetViews>
  <sheetFormatPr baseColWidth="10" defaultRowHeight="15" x14ac:dyDescent="0.25"/>
  <cols>
    <col min="1" max="1" width="5.42578125" customWidth="1"/>
    <col min="2" max="2" width="13.7109375" customWidth="1"/>
    <col min="3" max="3" width="7.5703125" customWidth="1"/>
    <col min="4" max="4" width="54.85546875" customWidth="1"/>
    <col min="5" max="5" width="28.7109375" customWidth="1"/>
    <col min="8" max="8" width="20.7109375" customWidth="1"/>
    <col min="9" max="9" width="26.7109375" customWidth="1"/>
    <col min="10" max="10" width="29.5703125" customWidth="1"/>
  </cols>
  <sheetData>
    <row r="1" spans="1:16" ht="28.5" x14ac:dyDescent="0.4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6" ht="33" x14ac:dyDescent="0.6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6" ht="33" x14ac:dyDescent="0.6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6" ht="38.25" x14ac:dyDescent="0.65">
      <c r="A4" s="39"/>
      <c r="B4" s="40"/>
      <c r="C4" s="40"/>
      <c r="D4" s="217" t="s">
        <v>21</v>
      </c>
      <c r="E4" s="217"/>
      <c r="F4" s="217"/>
      <c r="G4" s="217"/>
      <c r="H4" s="217"/>
      <c r="I4" s="217"/>
      <c r="J4" s="217"/>
      <c r="K4" s="217"/>
      <c r="L4" s="41"/>
      <c r="M4" s="40"/>
    </row>
    <row r="5" spans="1:16" ht="33" x14ac:dyDescent="0.6">
      <c r="A5" s="39"/>
      <c r="B5" s="40"/>
      <c r="C5" s="40"/>
      <c r="D5" s="42"/>
      <c r="E5" s="40"/>
      <c r="F5" s="40"/>
      <c r="G5" s="40"/>
      <c r="H5" s="40"/>
      <c r="I5" s="40"/>
      <c r="J5" s="40"/>
      <c r="K5" s="43"/>
      <c r="L5" s="41"/>
      <c r="M5" s="40"/>
    </row>
    <row r="6" spans="1:16" ht="46.5" customHeight="1" x14ac:dyDescent="0.7">
      <c r="A6" s="39"/>
      <c r="B6" s="40"/>
      <c r="C6" s="40"/>
      <c r="D6" s="44"/>
      <c r="E6" s="45"/>
      <c r="F6" s="40"/>
      <c r="G6" s="40"/>
      <c r="H6" s="40"/>
      <c r="I6" s="74" t="s">
        <v>22</v>
      </c>
      <c r="J6" s="218">
        <v>33</v>
      </c>
      <c r="K6" s="218"/>
      <c r="L6" s="41"/>
      <c r="M6" s="40"/>
      <c r="P6">
        <f>87*2</f>
        <v>174</v>
      </c>
    </row>
    <row r="7" spans="1:16" ht="37.5" x14ac:dyDescent="0.7">
      <c r="A7" s="39"/>
      <c r="B7" s="40"/>
      <c r="C7" s="40"/>
      <c r="D7" s="40"/>
      <c r="E7" s="40"/>
      <c r="F7" s="40"/>
      <c r="G7" s="40"/>
      <c r="H7" s="40"/>
      <c r="I7" s="75"/>
      <c r="J7" s="75"/>
      <c r="K7" s="75"/>
      <c r="L7" s="40"/>
      <c r="M7" s="40"/>
      <c r="P7">
        <f>174-200</f>
        <v>-26</v>
      </c>
    </row>
    <row r="8" spans="1:16" ht="37.5" x14ac:dyDescent="0.7">
      <c r="A8" s="39"/>
      <c r="B8" s="40"/>
      <c r="C8" s="40"/>
      <c r="D8" s="44"/>
      <c r="E8" s="45"/>
      <c r="F8" s="40"/>
      <c r="G8" s="40"/>
      <c r="H8" s="40"/>
      <c r="I8" s="76" t="s">
        <v>23</v>
      </c>
      <c r="J8" s="219" t="s">
        <v>166</v>
      </c>
      <c r="K8" s="220"/>
      <c r="L8" s="46"/>
      <c r="M8" s="40"/>
    </row>
    <row r="9" spans="1:16" ht="37.5" x14ac:dyDescent="0.7">
      <c r="A9" s="39"/>
      <c r="B9" s="40"/>
      <c r="C9" s="40"/>
      <c r="D9" s="40"/>
      <c r="E9" s="40"/>
      <c r="F9" s="40"/>
      <c r="G9" s="40"/>
      <c r="H9" s="40"/>
      <c r="I9" s="75"/>
      <c r="J9" s="77"/>
      <c r="K9" s="77"/>
      <c r="L9" s="46"/>
      <c r="M9" s="40"/>
    </row>
    <row r="10" spans="1:16" ht="5.25" customHeight="1" x14ac:dyDescent="0.7">
      <c r="A10" s="39"/>
      <c r="B10" s="40"/>
      <c r="C10" s="40"/>
      <c r="D10" s="40"/>
      <c r="E10" s="40"/>
      <c r="F10" s="40"/>
      <c r="G10" s="40"/>
      <c r="H10" s="40"/>
      <c r="I10" s="75"/>
      <c r="J10" s="75"/>
      <c r="K10" s="75"/>
      <c r="L10" s="40"/>
      <c r="M10" s="40"/>
    </row>
    <row r="11" spans="1:16" ht="69" customHeight="1" x14ac:dyDescent="0.7">
      <c r="A11" s="39"/>
      <c r="B11" s="40"/>
      <c r="C11" s="79"/>
      <c r="D11" s="76" t="s">
        <v>24</v>
      </c>
      <c r="E11" s="80" t="s">
        <v>167</v>
      </c>
      <c r="F11" s="80"/>
      <c r="G11" s="80"/>
      <c r="H11" s="80"/>
      <c r="I11" s="81" t="s">
        <v>25</v>
      </c>
      <c r="J11" s="82" t="str">
        <f>+J8</f>
        <v>40$</v>
      </c>
      <c r="K11" s="82"/>
      <c r="L11" s="40"/>
      <c r="M11" s="40"/>
    </row>
    <row r="12" spans="1:16" ht="49.5" customHeight="1" x14ac:dyDescent="0.7">
      <c r="A12" s="39"/>
      <c r="B12" s="40"/>
      <c r="C12" s="79"/>
      <c r="D12" s="76" t="s">
        <v>26</v>
      </c>
      <c r="E12" s="83" t="s">
        <v>168</v>
      </c>
      <c r="F12" s="83"/>
      <c r="G12" s="83"/>
      <c r="H12" s="83"/>
      <c r="I12" s="80"/>
      <c r="J12" s="84"/>
      <c r="K12" s="83"/>
      <c r="L12" s="40"/>
      <c r="M12" s="40"/>
    </row>
    <row r="13" spans="1:16" ht="42" customHeight="1" x14ac:dyDescent="0.7">
      <c r="A13" s="39"/>
      <c r="B13" s="40"/>
      <c r="C13" s="79"/>
      <c r="D13" s="76" t="s">
        <v>27</v>
      </c>
      <c r="E13" s="87" t="s">
        <v>169</v>
      </c>
      <c r="F13" s="83"/>
      <c r="G13" s="83"/>
      <c r="H13" s="83"/>
      <c r="I13" s="83"/>
      <c r="J13" s="83"/>
      <c r="K13" s="83"/>
      <c r="L13" s="40"/>
      <c r="M13" s="40"/>
    </row>
    <row r="14" spans="1:16" ht="36.75" customHeight="1" x14ac:dyDescent="0.7">
      <c r="A14" s="39"/>
      <c r="B14" s="40"/>
      <c r="C14" s="79"/>
      <c r="D14" s="79"/>
      <c r="E14" s="79"/>
      <c r="F14" s="79"/>
      <c r="G14" s="79"/>
      <c r="H14" s="79"/>
      <c r="I14" s="79"/>
      <c r="J14" s="79"/>
      <c r="K14" s="79"/>
      <c r="L14" s="40"/>
      <c r="M14" s="40"/>
    </row>
    <row r="15" spans="1:16" ht="64.5" customHeight="1" x14ac:dyDescent="0.7">
      <c r="A15" s="39"/>
      <c r="B15" s="40"/>
      <c r="C15" s="79"/>
      <c r="D15" s="74" t="s">
        <v>28</v>
      </c>
      <c r="E15" s="85">
        <v>46167</v>
      </c>
      <c r="F15" s="76"/>
      <c r="G15" s="76"/>
      <c r="H15" s="76"/>
      <c r="I15" s="76"/>
      <c r="J15" s="76"/>
      <c r="K15" s="78" t="str">
        <f>CONCATENATE(UPPER(TEXT(E15,"dddd dd \d\e mmmm \d\e  yyyy")))</f>
        <v>LUNES 25 DE MAYO DE  2026</v>
      </c>
      <c r="L15" s="47"/>
      <c r="M15" s="40"/>
    </row>
    <row r="16" spans="1:16" ht="37.5" x14ac:dyDescent="0.7">
      <c r="A16" s="39"/>
      <c r="B16" s="40"/>
      <c r="C16" s="79"/>
      <c r="D16" s="76"/>
      <c r="E16" s="76"/>
      <c r="F16" s="76"/>
      <c r="G16" s="76"/>
      <c r="H16" s="76"/>
      <c r="I16" s="76"/>
      <c r="J16" s="76"/>
      <c r="K16" s="76"/>
      <c r="L16" s="40"/>
      <c r="M16" s="40"/>
    </row>
    <row r="17" spans="1:13" ht="49.5" customHeight="1" x14ac:dyDescent="0.7">
      <c r="A17" s="39"/>
      <c r="B17" s="40"/>
      <c r="C17" s="79"/>
      <c r="D17" s="76"/>
      <c r="E17" s="86"/>
      <c r="F17" s="86"/>
      <c r="G17" s="76"/>
      <c r="H17" s="76"/>
      <c r="I17" s="86"/>
      <c r="J17" s="86"/>
      <c r="K17" s="76"/>
      <c r="L17" s="40"/>
      <c r="M17" s="40"/>
    </row>
    <row r="18" spans="1:13" ht="53.25" customHeight="1" x14ac:dyDescent="0.7">
      <c r="A18" s="39"/>
      <c r="B18" s="40"/>
      <c r="C18" s="79"/>
      <c r="D18" s="76"/>
      <c r="E18" s="221" t="s">
        <v>29</v>
      </c>
      <c r="F18" s="221"/>
      <c r="G18" s="76"/>
      <c r="H18" s="76"/>
      <c r="I18" s="221" t="s">
        <v>30</v>
      </c>
      <c r="J18" s="221"/>
      <c r="K18" s="76"/>
      <c r="L18" s="40"/>
      <c r="M18" s="40"/>
    </row>
    <row r="19" spans="1:13" ht="71.25" customHeight="1" x14ac:dyDescent="0.7">
      <c r="A19" s="39"/>
      <c r="B19" s="40"/>
      <c r="C19" s="79"/>
      <c r="D19" s="79"/>
      <c r="E19" s="79"/>
      <c r="F19" s="79"/>
      <c r="G19" s="79"/>
      <c r="H19" s="79"/>
      <c r="I19" s="79"/>
      <c r="J19" s="79"/>
      <c r="K19" s="79"/>
      <c r="L19" s="40"/>
      <c r="M19" s="40"/>
    </row>
    <row r="20" spans="1:13" ht="37.5" customHeight="1" x14ac:dyDescent="0.4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</sheetData>
  <mergeCells count="5">
    <mergeCell ref="D4:K4"/>
    <mergeCell ref="J6:K6"/>
    <mergeCell ref="J8:K8"/>
    <mergeCell ref="E18:F18"/>
    <mergeCell ref="I18:J18"/>
  </mergeCells>
  <pageMargins left="0.7" right="0.7" top="0.75" bottom="0.75" header="0.3" footer="0.3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INGRESO WENDY</vt:lpstr>
      <vt:lpstr>CREDITO</vt:lpstr>
      <vt:lpstr>INGRESOS DIARIOS INDIVIDUALES</vt:lpstr>
      <vt:lpstr>INGRESO DETALLADO INDIVIDUAL</vt:lpstr>
      <vt:lpstr>INGRESOS VS EGRESO </vt:lpstr>
      <vt:lpstr>RECIBOS</vt:lpstr>
      <vt:lpstr>RECIBOS!Área_de_impresión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PC01</cp:lastModifiedBy>
  <cp:lastPrinted>2026-05-28T18:39:23Z</cp:lastPrinted>
  <dcterms:created xsi:type="dcterms:W3CDTF">2026-04-07T13:54:44Z</dcterms:created>
  <dcterms:modified xsi:type="dcterms:W3CDTF">2026-05-28T18:56:57Z</dcterms:modified>
</cp:coreProperties>
</file>